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1\Desktop\"/>
    </mc:Choice>
  </mc:AlternateContent>
  <xr:revisionPtr revIDLastSave="0" documentId="13_ncr:1_{59C2CA39-8AA7-4AF9-A434-9033750210D8}" xr6:coauthVersionLast="47" xr6:coauthVersionMax="47" xr10:uidLastSave="{00000000-0000-0000-0000-000000000000}"/>
  <bookViews>
    <workbookView xWindow="-120" yWindow="-120" windowWidth="29040" windowHeight="15720" activeTab="1" xr2:uid="{3ED27063-9DD1-454A-B3B2-C7DEBA3329EB}"/>
  </bookViews>
  <sheets>
    <sheet name="tabelle totali" sheetId="1" r:id="rId1"/>
    <sheet name="TOTALE Soc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" l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28" i="1"/>
  <c r="B27" i="1"/>
  <c r="B26" i="1" l="1"/>
  <c r="B25" i="1" l="1"/>
  <c r="B24" i="1"/>
  <c r="B23" i="1"/>
  <c r="B22" i="1"/>
  <c r="B6" i="1"/>
  <c r="B5" i="1"/>
  <c r="B4" i="1"/>
  <c r="B3" i="1"/>
  <c r="B2" i="1"/>
  <c r="B31" i="1" l="1"/>
  <c r="B10" i="1" l="1"/>
  <c r="B66" i="1"/>
</calcChain>
</file>

<file path=xl/sharedStrings.xml><?xml version="1.0" encoding="utf-8"?>
<sst xmlns="http://schemas.openxmlformats.org/spreadsheetml/2006/main" count="733" uniqueCount="219">
  <si>
    <t>Aziende associate</t>
  </si>
  <si>
    <t>Fascia di fatturato/volume d’affari complessivo</t>
  </si>
  <si>
    <t>tra 10 e 50 milioni di euro</t>
  </si>
  <si>
    <t>oltre 50 milioni di euro</t>
  </si>
  <si>
    <t xml:space="preserve">fino a 2 milioni di euro </t>
  </si>
  <si>
    <t>SETTORE</t>
  </si>
  <si>
    <t>FASCIA FATTURATO</t>
  </si>
  <si>
    <t>agroalimentare</t>
  </si>
  <si>
    <t>media, editoria</t>
  </si>
  <si>
    <t>edilizia, infrastrutture, materiali da costruzione</t>
  </si>
  <si>
    <t>elettronica, ICT, digitale</t>
  </si>
  <si>
    <t>servizi alle imprese</t>
  </si>
  <si>
    <t>macchinari, attrezzature, impianti</t>
  </si>
  <si>
    <t>energia, gas, luce, acqua, ambiente, estrattiva, metallurgia</t>
  </si>
  <si>
    <t>carta, legno, arredamento</t>
  </si>
  <si>
    <t>gomma, plastica, chimica</t>
  </si>
  <si>
    <t>logistica, trasporti</t>
  </si>
  <si>
    <t>tessile, abbigliamento, pelli e cuoio</t>
  </si>
  <si>
    <t>farmaceutica, sanità</t>
  </si>
  <si>
    <t>startup</t>
  </si>
  <si>
    <t>grandi</t>
  </si>
  <si>
    <t>medie</t>
  </si>
  <si>
    <t>piccole</t>
  </si>
  <si>
    <t>ADRAGNA</t>
  </si>
  <si>
    <t>AGENZIA DI STAMPA ITALPRESS</t>
  </si>
  <si>
    <t>ALGECO</t>
  </si>
  <si>
    <t>ALMAVIVA</t>
  </si>
  <si>
    <t>ALMAWAVE</t>
  </si>
  <si>
    <t>ANDERSEN</t>
  </si>
  <si>
    <t>ARET video and audio engineering</t>
  </si>
  <si>
    <t>A.R. TECHNOLOGY</t>
  </si>
  <si>
    <t>ASSOCIATED MEDIAS</t>
  </si>
  <si>
    <t>AVIOGEI</t>
  </si>
  <si>
    <t>BCC STUDIO</t>
  </si>
  <si>
    <t>BEA TECHNOLOGIES</t>
  </si>
  <si>
    <t>BEDESCHI</t>
  </si>
  <si>
    <t>BERGS &amp; MORE</t>
  </si>
  <si>
    <t>BLEND PLANTS</t>
  </si>
  <si>
    <t>BONELLI EREDE</t>
  </si>
  <si>
    <t>BTT ITALIA</t>
  </si>
  <si>
    <t>CAPRARI</t>
  </si>
  <si>
    <t>CARTESAR</t>
  </si>
  <si>
    <t>COLACEM</t>
  </si>
  <si>
    <t>CONDOTTE 1880</t>
  </si>
  <si>
    <t>CORA’</t>
  </si>
  <si>
    <t>CORIMPEX</t>
  </si>
  <si>
    <t>COVER TECHNOLOGY</t>
  </si>
  <si>
    <t xml:space="preserve">DALMINE - TENARIS </t>
  </si>
  <si>
    <t xml:space="preserve">DANIELI </t>
  </si>
  <si>
    <t xml:space="preserve">DE LORENZO </t>
  </si>
  <si>
    <t>DEMUS</t>
  </si>
  <si>
    <t>EEMAXX</t>
  </si>
  <si>
    <t xml:space="preserve">ENEL </t>
  </si>
  <si>
    <t>ENI</t>
  </si>
  <si>
    <t>ENSER</t>
  </si>
  <si>
    <t>FARESIN FORMWORK</t>
  </si>
  <si>
    <t>FERRERO</t>
  </si>
  <si>
    <t>FRIOSTAR</t>
  </si>
  <si>
    <t>GAMMA MECCANICA</t>
  </si>
  <si>
    <t>GENOVESE UMBERTO</t>
  </si>
  <si>
    <t>GERMANETTI</t>
  </si>
  <si>
    <t>GREEN ENIT</t>
  </si>
  <si>
    <t>GREEN HAS ITALIA</t>
  </si>
  <si>
    <t>GRUPPO MARZOTTO</t>
  </si>
  <si>
    <t>GRUPPO PICCINI</t>
  </si>
  <si>
    <t>HITHERM</t>
  </si>
  <si>
    <t>ICM</t>
  </si>
  <si>
    <t>IGNAZIO MESSINA</t>
  </si>
  <si>
    <t>INALCA</t>
  </si>
  <si>
    <t>ITARE</t>
  </si>
  <si>
    <t>ITERCHIMICA</t>
  </si>
  <si>
    <t>J&amp;L TRASPORTI</t>
  </si>
  <si>
    <t>LABIOTEST</t>
  </si>
  <si>
    <t>LAS EUROSERVICE</t>
  </si>
  <si>
    <t>LEONARDO</t>
  </si>
  <si>
    <t>LIMONTA SPORT</t>
  </si>
  <si>
    <t>LITEK</t>
  </si>
  <si>
    <t>LOCONTE &amp; PARTNER</t>
  </si>
  <si>
    <t>MAGALDI GREEN ENERGY</t>
  </si>
  <si>
    <t>MAIRE TECNIMONT</t>
  </si>
  <si>
    <t>MANGIATORELLA</t>
  </si>
  <si>
    <t>MAPEI</t>
  </si>
  <si>
    <t>MARCANTONINI</t>
  </si>
  <si>
    <t>MARTINI ALIMENTARE</t>
  </si>
  <si>
    <t>MAXA ENGINEERING</t>
  </si>
  <si>
    <t>METALGALANTE</t>
  </si>
  <si>
    <t>METALMONT</t>
  </si>
  <si>
    <t>MOIWUS</t>
  </si>
  <si>
    <t xml:space="preserve">MSC </t>
  </si>
  <si>
    <t xml:space="preserve">MULMIX </t>
  </si>
  <si>
    <t>NEUMAN &amp; ESSER</t>
  </si>
  <si>
    <t>OFMER</t>
  </si>
  <si>
    <t>OLMO</t>
  </si>
  <si>
    <t>PARMAPROGETTI</t>
  </si>
  <si>
    <t>PAVI</t>
  </si>
  <si>
    <t>PB</t>
  </si>
  <si>
    <t>PELLICONI</t>
  </si>
  <si>
    <t>PROGER</t>
  </si>
  <si>
    <t>RATTI</t>
  </si>
  <si>
    <t>ROC ITALIA SRL</t>
  </si>
  <si>
    <t>ROVATTI POMPE</t>
  </si>
  <si>
    <t>SACMI</t>
  </si>
  <si>
    <t>SAIPEM</t>
  </si>
  <si>
    <t>SALCEF</t>
  </si>
  <si>
    <t>SARI INGEGNERIA SRL</t>
  </si>
  <si>
    <t>SAVINO DEL BENE</t>
  </si>
  <si>
    <t>SB SETEC</t>
  </si>
  <si>
    <t>SBS STEEL BELT SYSTEM</t>
  </si>
  <si>
    <t>SELIP</t>
  </si>
  <si>
    <t>SIDI</t>
  </si>
  <si>
    <t>SMS GROUP</t>
  </si>
  <si>
    <t>SODIMAX</t>
  </si>
  <si>
    <t>STERILINE</t>
  </si>
  <si>
    <t>STUDIO MARTINI INGEGNERIA</t>
  </si>
  <si>
    <t>STUDIO SURACI INGEGNERIA</t>
  </si>
  <si>
    <t>STUDIO TECNICO APPIANI</t>
  </si>
  <si>
    <t>TARROS</t>
  </si>
  <si>
    <t>TELECOM ITALIA SPARKLE</t>
  </si>
  <si>
    <t>TMC</t>
  </si>
  <si>
    <t>UMANA</t>
  </si>
  <si>
    <t>VALENTE S.P.A</t>
  </si>
  <si>
    <t>VALVITALIA</t>
  </si>
  <si>
    <t>VENICECOM</t>
  </si>
  <si>
    <t>VILLA SPADA</t>
  </si>
  <si>
    <t>WORLD SERVICE</t>
  </si>
  <si>
    <t>AZIENDA</t>
  </si>
  <si>
    <t>EAGLEPROJECTS</t>
  </si>
  <si>
    <t>CHEMIFARMA</t>
  </si>
  <si>
    <t>multinazionali</t>
  </si>
  <si>
    <t>CONFINDUSTRIA ASCOLI PICENO</t>
  </si>
  <si>
    <t>CONFINDUSTRIA BERGAMO</t>
  </si>
  <si>
    <t>CONFINDUSTRIA ABRUZZO MEDIO ADRIATICO</t>
  </si>
  <si>
    <t>CONFINDUSTRIA GENOVA</t>
  </si>
  <si>
    <t>CONFINDUSTRIA SALERNO</t>
  </si>
  <si>
    <t>CONFINDUSTRIA SARDEGNA MERIDIONALE</t>
  </si>
  <si>
    <t>CONFINDUSTRIA SIRACUSA</t>
  </si>
  <si>
    <t>CONFINDUSTRIA VERONA</t>
  </si>
  <si>
    <t>CONFINDUSTRIA VICENZA</t>
  </si>
  <si>
    <t>ANIE FEDERAZIONE</t>
  </si>
  <si>
    <t>ANITEC-ASSINFORM - Associazione Italiana per l’Information and Communication Technology (ICT)</t>
  </si>
  <si>
    <t>ASSOCIAZIONE INDUSTRIALI CREMONA</t>
  </si>
  <si>
    <t>ASSOLOMBARDA</t>
  </si>
  <si>
    <t>FEDERPESCA</t>
  </si>
  <si>
    <t>GIMAV</t>
  </si>
  <si>
    <t>UNIONE PARMENSE DEGLI INDUSTRIALI</t>
  </si>
  <si>
    <t>associazione</t>
  </si>
  <si>
    <t>Associazioni industriali</t>
  </si>
  <si>
    <t>Banche</t>
  </si>
  <si>
    <t>ARAB BANKING CORPORATION</t>
  </si>
  <si>
    <t>banche</t>
  </si>
  <si>
    <t>BANCA MONTE DEI PASCHI DI SIENA</t>
  </si>
  <si>
    <t>BANCA POPOLARE DI SONDRIO</t>
  </si>
  <si>
    <t>BANCA UBAE</t>
  </si>
  <si>
    <t>ICCREA BANCA</t>
  </si>
  <si>
    <t>INTESA SANPAOLO</t>
  </si>
  <si>
    <t>UNICREDIT</t>
  </si>
  <si>
    <t>Associati totali</t>
  </si>
  <si>
    <t>Associati</t>
  </si>
  <si>
    <t>Aziende totali</t>
  </si>
  <si>
    <t>DLA PIPER</t>
  </si>
  <si>
    <t>FATTURATO</t>
  </si>
  <si>
    <t>SISAM AGENTI</t>
  </si>
  <si>
    <t>ABYTU</t>
  </si>
  <si>
    <t>SATECH Safety Technology</t>
  </si>
  <si>
    <t>LINEA FABBRICA</t>
  </si>
  <si>
    <t>K3 Construction Procurement Services SpA</t>
  </si>
  <si>
    <t>CONCETTI</t>
  </si>
  <si>
    <t>IEG Italian Exhibition Group</t>
  </si>
  <si>
    <t>Startup</t>
  </si>
  <si>
    <t xml:space="preserve">Micro imprese - fino a 2 milioni di euro </t>
  </si>
  <si>
    <t xml:space="preserve">Piccole imprese - tra 2 e 10 milioni di euro </t>
  </si>
  <si>
    <t>Medie imprese - tra 10 e 50 milioni di euro</t>
  </si>
  <si>
    <t>Grandi imprese - oltre 50 milioni di euro</t>
  </si>
  <si>
    <t>MODENESE GASTONE INTERIORS</t>
  </si>
  <si>
    <t>IDROBASE GROUP</t>
  </si>
  <si>
    <t>PROGRESS RAIL SIGNALING</t>
  </si>
  <si>
    <t>CY4GATE</t>
  </si>
  <si>
    <t>ARGIOLAS FORMAGGI</t>
  </si>
  <si>
    <t>GDM</t>
  </si>
  <si>
    <t>ASSOMAC</t>
  </si>
  <si>
    <t>SEID</t>
  </si>
  <si>
    <t xml:space="preserve">tra 2 e 10 milioni di euro </t>
  </si>
  <si>
    <t>Settore</t>
  </si>
  <si>
    <t>tot.</t>
  </si>
  <si>
    <t>associazioni industriali</t>
  </si>
  <si>
    <t>ACEA SPA</t>
  </si>
  <si>
    <t>TODINI COSTRUZIONI GENERALI SPA</t>
  </si>
  <si>
    <t>UNIONE INDUSTRIALI TORINO</t>
  </si>
  <si>
    <t>AIRCONTAINER</t>
  </si>
  <si>
    <t>HRM</t>
  </si>
  <si>
    <t>LA MOLE</t>
  </si>
  <si>
    <t>ATP TECHNOLOGIES</t>
  </si>
  <si>
    <t>FRABEMAR</t>
  </si>
  <si>
    <t>RP LEGAL &amp; TAX</t>
  </si>
  <si>
    <t>KRIPTIA INTERNATIONAL SRL</t>
  </si>
  <si>
    <t>HDG GROUP</t>
  </si>
  <si>
    <t>MEDEA IMPIANTI</t>
  </si>
  <si>
    <t>DELICIUS RIZZOLI</t>
  </si>
  <si>
    <t>FRISOLI</t>
  </si>
  <si>
    <t>IMAGRO CONSTRUCTION</t>
  </si>
  <si>
    <t>CONFINDUSTRIA MODA</t>
  </si>
  <si>
    <t>DG IMPIANTI INDUSTRIALI SPA</t>
  </si>
  <si>
    <t>FARMFRONT</t>
  </si>
  <si>
    <t>3Bmust INTERNATIONAL</t>
  </si>
  <si>
    <t>QUOTE 2026</t>
  </si>
  <si>
    <t>INTERDATA</t>
  </si>
  <si>
    <t>SUPERTEC</t>
  </si>
  <si>
    <t>AYMING ITALIA SRL SB</t>
  </si>
  <si>
    <t>FLYON AERO</t>
  </si>
  <si>
    <t>ok</t>
  </si>
  <si>
    <t>sito</t>
  </si>
  <si>
    <t xml:space="preserve">BAKER HUGHES - NUOVO PIGNONE INTERNATIONAL </t>
  </si>
  <si>
    <t>BUREAU VERITAS ITALIA SPA</t>
  </si>
  <si>
    <t>ECOLIBRI</t>
  </si>
  <si>
    <t xml:space="preserve">SYSTEMATICA </t>
  </si>
  <si>
    <t>EUROSCAF</t>
  </si>
  <si>
    <t>AFLABOX</t>
  </si>
  <si>
    <t>BALTUR</t>
  </si>
  <si>
    <t>E4Life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</si>
</sst>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5" x14ac:knownFonts="1">
    <font>
      <sz val="11"/>
      <color theme="1"/>
      <name val="Aptos Narrow"/>
      <family val="2"/>
      <scheme val="minor"/>
    </font>
    <font>
      <b/>
      <sz val="11"/>
      <color rgb="FF001F5F"/>
      <name val="Arial"/>
      <family val="2"/>
    </font>
    <font>
      <sz val="11"/>
      <color rgb="FF001F5F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 style="thin">
        <color theme="4" tint="0.39997558519241921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/>
      <right style="medium">
        <color rgb="FFBFBFBF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0" fillId="3" borderId="0" xfId="0" applyFill="1"/>
    <xf numFmtId="164" fontId="2" fillId="0" borderId="4" xfId="0" applyNumberFormat="1" applyFont="1" applyBorder="1" applyAlignment="1">
      <alignment vertical="center" wrapText="1"/>
    </xf>
    <xf numFmtId="0" fontId="0" fillId="5" borderId="0" xfId="0" applyFill="1"/>
    <xf numFmtId="0" fontId="2" fillId="0" borderId="10" xfId="0" applyFont="1" applyBorder="1" applyAlignment="1">
      <alignment vertical="center" wrapText="1"/>
    </xf>
    <xf numFmtId="164" fontId="2" fillId="0" borderId="6" xfId="0" applyNumberFormat="1" applyFont="1" applyBorder="1" applyAlignment="1">
      <alignment vertical="center" wrapText="1"/>
    </xf>
    <xf numFmtId="164" fontId="2" fillId="4" borderId="4" xfId="0" applyNumberFormat="1" applyFont="1" applyFill="1" applyBorder="1" applyAlignment="1">
      <alignment vertical="center" wrapText="1"/>
    </xf>
    <xf numFmtId="164" fontId="2" fillId="0" borderId="9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0" borderId="11" xfId="0" applyNumberFormat="1" applyFont="1" applyBorder="1" applyAlignment="1">
      <alignment vertical="center" wrapText="1"/>
    </xf>
    <xf numFmtId="0" fontId="0" fillId="6" borderId="0" xfId="0" applyFill="1"/>
    <xf numFmtId="0" fontId="4" fillId="5" borderId="0" xfId="0" applyFont="1" applyFill="1"/>
  </cellXfs>
  <cellStyles count="1">
    <cellStyle name="Normale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1F5F"/>
        <name val="Arial"/>
        <family val="2"/>
        <scheme val="none"/>
      </font>
      <numFmt numFmtId="164" formatCode="#,##0\ &quot;€&quot;"/>
      <alignment horizontal="general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1F5F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1F5F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BFBFBF"/>
        </left>
        <right style="medium">
          <color rgb="FFBFBFBF"/>
        </right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1F5F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border outline="0">
        <left style="medium">
          <color rgb="FFBFBFBF"/>
        </left>
        <right style="medium">
          <color rgb="FFBFBFBF"/>
        </right>
        <top style="medium">
          <color rgb="FFBFBFBF"/>
        </top>
        <bottom style="medium">
          <color rgb="FFBFBFBF"/>
        </bottom>
      </border>
    </dxf>
    <dxf>
      <border outline="0">
        <bottom style="medium">
          <color rgb="FFBFBFBF"/>
        </bottom>
      </border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'tabelle totali'!$B$1</c:f>
              <c:strCache>
                <c:ptCount val="1"/>
                <c:pt idx="0">
                  <c:v>Aziende associate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E4-4912-9F57-CB76AB11C4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E4-4912-9F57-CB76AB11C4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FE4-4912-9F57-CB76AB11C4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FE4-4912-9F57-CB76AB11C4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FE4-4912-9F57-CB76AB11C41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'tabelle totali'!$A$2:$A$6</c:f>
              <c:strCache>
                <c:ptCount val="5"/>
                <c:pt idx="0">
                  <c:v>startup</c:v>
                </c:pt>
                <c:pt idx="1">
                  <c:v>fino a 2 milioni di euro </c:v>
                </c:pt>
                <c:pt idx="2">
                  <c:v>tra 2 e 10 milioni di euro </c:v>
                </c:pt>
                <c:pt idx="3">
                  <c:v>tra 10 e 50 milioni di euro</c:v>
                </c:pt>
                <c:pt idx="4">
                  <c:v>oltre 50 milioni di euro</c:v>
                </c:pt>
              </c:strCache>
            </c:strRef>
          </c:cat>
          <c:val>
            <c:numRef>
              <c:f>'tabelle totali'!$B$2:$B$6</c:f>
              <c:numCache>
                <c:formatCode>General</c:formatCode>
                <c:ptCount val="5"/>
                <c:pt idx="0">
                  <c:v>11</c:v>
                </c:pt>
                <c:pt idx="1">
                  <c:v>22</c:v>
                </c:pt>
                <c:pt idx="2">
                  <c:v>27</c:v>
                </c:pt>
                <c:pt idx="3">
                  <c:v>37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E-4B3B-8942-3A944DB3B36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734120734908138"/>
          <c:y val="0.30693132108486443"/>
          <c:w val="0.36599212598425196"/>
          <c:h val="0.4600721784776902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'tabelle totali'!$B$21</c:f>
              <c:strCache>
                <c:ptCount val="1"/>
                <c:pt idx="0">
                  <c:v>Associati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DB-46B6-8F68-D7A84FBD8A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DB-46B6-8F68-D7A84FBD8A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DB-46B6-8F68-D7A84FBD8A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5DB-46B6-8F68-D7A84FBD8A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5DB-46B6-8F68-D7A84FBD8A4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5DB-46B6-8F68-D7A84FBD8A41}"/>
              </c:ext>
            </c:extLst>
          </c:dPt>
          <c:dPt>
            <c:idx val="6"/>
            <c:bubble3D val="0"/>
            <c:spPr>
              <a:solidFill>
                <a:srgbClr val="CC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5DB-46B6-8F68-D7A84FBD8A41}"/>
              </c:ext>
            </c:extLst>
          </c:dPt>
          <c:dLbls>
            <c:dLbl>
              <c:idx val="0"/>
              <c:layout>
                <c:manualLayout>
                  <c:x val="-1.6314256174832696E-2"/>
                  <c:y val="0.1495077116949291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DB-46B6-8F68-D7A84FBD8A41}"/>
                </c:ext>
              </c:extLst>
            </c:dLbl>
            <c:dLbl>
              <c:idx val="1"/>
              <c:layout>
                <c:manualLayout>
                  <c:x val="-8.6513283690191609E-2"/>
                  <c:y val="0.1633980768703942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DB-46B6-8F68-D7A84FBD8A41}"/>
                </c:ext>
              </c:extLst>
            </c:dLbl>
            <c:dLbl>
              <c:idx val="2"/>
              <c:layout>
                <c:manualLayout>
                  <c:x val="-0.1294965205178038"/>
                  <c:y val="9.7906108173757399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5DB-46B6-8F68-D7A84FBD8A41}"/>
                </c:ext>
              </c:extLst>
            </c:dLbl>
            <c:dLbl>
              <c:idx val="3"/>
              <c:layout>
                <c:manualLayout>
                  <c:x val="-6.9960942763291872E-2"/>
                  <c:y val="-0.20998164534421837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5DB-46B6-8F68-D7A84FBD8A41}"/>
                </c:ext>
              </c:extLst>
            </c:dLbl>
            <c:dLbl>
              <c:idx val="4"/>
              <c:layout>
                <c:manualLayout>
                  <c:x val="0.1382768768687582"/>
                  <c:y val="-7.167520477768950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5DB-46B6-8F68-D7A84FBD8A41}"/>
                </c:ext>
              </c:extLst>
            </c:dLbl>
            <c:dLbl>
              <c:idx val="5"/>
              <c:layout>
                <c:manualLayout>
                  <c:x val="7.6343832020997343E-2"/>
                  <c:y val="0.1243540390784485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5DB-46B6-8F68-D7A84FBD8A41}"/>
                </c:ext>
              </c:extLst>
            </c:dLbl>
            <c:dLbl>
              <c:idx val="6"/>
              <c:layout>
                <c:manualLayout>
                  <c:x val="6.1197810492386304E-2"/>
                  <c:y val="0.1528820462245112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5DB-46B6-8F68-D7A84FBD8A41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'tabelle totali'!$A$22:$A$28</c:f>
              <c:strCache>
                <c:ptCount val="7"/>
                <c:pt idx="0">
                  <c:v>Startup</c:v>
                </c:pt>
                <c:pt idx="1">
                  <c:v>Micro imprese - fino a 2 milioni di euro </c:v>
                </c:pt>
                <c:pt idx="2">
                  <c:v>Piccole imprese - tra 2 e 10 milioni di euro </c:v>
                </c:pt>
                <c:pt idx="3">
                  <c:v>Medie imprese - tra 10 e 50 milioni di euro</c:v>
                </c:pt>
                <c:pt idx="4">
                  <c:v>Grandi imprese - oltre 50 milioni di euro</c:v>
                </c:pt>
                <c:pt idx="5">
                  <c:v>Banche</c:v>
                </c:pt>
                <c:pt idx="6">
                  <c:v>Associazioni industriali</c:v>
                </c:pt>
              </c:strCache>
            </c:strRef>
          </c:cat>
          <c:val>
            <c:numRef>
              <c:f>'tabelle totali'!$B$22:$B$28</c:f>
              <c:numCache>
                <c:formatCode>General</c:formatCode>
                <c:ptCount val="7"/>
                <c:pt idx="0">
                  <c:v>11</c:v>
                </c:pt>
                <c:pt idx="1">
                  <c:v>22</c:v>
                </c:pt>
                <c:pt idx="2">
                  <c:v>27</c:v>
                </c:pt>
                <c:pt idx="3">
                  <c:v>37</c:v>
                </c:pt>
                <c:pt idx="4">
                  <c:v>51</c:v>
                </c:pt>
                <c:pt idx="5">
                  <c:v>7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3-4796-BC3D-F1228EE5DF4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legendEntry>
      <c:layout>
        <c:manualLayout>
          <c:xMode val="edge"/>
          <c:yMode val="edge"/>
          <c:x val="0.59169775510485823"/>
          <c:y val="0.15433776265088925"/>
          <c:w val="0.40488101487314093"/>
          <c:h val="0.7002264553774082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'tabelle totali'!$B$49</c:f>
              <c:strCache>
                <c:ptCount val="1"/>
                <c:pt idx="0">
                  <c:v>Associati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2DC-4EE3-BE30-60C716A01D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2DC-4EE3-BE30-60C716A01D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D2DC-4EE3-BE30-60C716A01D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2DC-4EE3-BE30-60C716A01D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D2DC-4EE3-BE30-60C716A01DE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2DC-4EE3-BE30-60C716A01DE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D2DC-4EE3-BE30-60C716A01DE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2DC-4EE3-BE30-60C716A01DE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2DC-4EE3-BE30-60C716A01DE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D2DC-4EE3-BE30-60C716A01DE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2DC-4EE3-BE30-60C716A01DE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D2DC-4EE3-BE30-60C716A01DE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2DC-4EE3-BE30-60C716A01DE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2DC-4EE3-BE30-60C716A01DE5}"/>
              </c:ext>
            </c:extLst>
          </c:dPt>
          <c:dLbls>
            <c:dLbl>
              <c:idx val="0"/>
              <c:layout>
                <c:manualLayout>
                  <c:x val="2.4471921689850594E-2"/>
                  <c:y val="4.1420118343195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DC-4EE3-BE30-60C716A01DE5}"/>
                </c:ext>
              </c:extLst>
            </c:dLbl>
            <c:dLbl>
              <c:idx val="1"/>
              <c:layout>
                <c:manualLayout>
                  <c:x val="1.2879958784131891E-3"/>
                  <c:y val="-9.861932938856015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DC-4EE3-BE30-60C716A01DE5}"/>
                </c:ext>
              </c:extLst>
            </c:dLbl>
            <c:dLbl>
              <c:idx val="2"/>
              <c:layout>
                <c:manualLayout>
                  <c:x val="1.2879958784131985E-2"/>
                  <c:y val="-7.2320006104728956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DC-4EE3-BE30-60C716A01DE5}"/>
                </c:ext>
              </c:extLst>
            </c:dLbl>
            <c:dLbl>
              <c:idx val="3"/>
              <c:layout>
                <c:manualLayout>
                  <c:x val="6.439979392065945E-3"/>
                  <c:y val="1.972386587771203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DC-4EE3-BE30-60C716A01DE5}"/>
                </c:ext>
              </c:extLst>
            </c:dLbl>
            <c:dLbl>
              <c:idx val="4"/>
              <c:layout>
                <c:manualLayout>
                  <c:x val="1.9319938176197742E-2"/>
                  <c:y val="-5.917159763313754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DC-4EE3-BE30-60C716A01DE5}"/>
                </c:ext>
              </c:extLst>
            </c:dLbl>
            <c:dLbl>
              <c:idx val="5"/>
              <c:layout>
                <c:manualLayout>
                  <c:x val="-0.11076764554353431"/>
                  <c:y val="-1.4464001220945791E-1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DC-4EE3-BE30-60C716A01DE5}"/>
                </c:ext>
              </c:extLst>
            </c:dLbl>
            <c:dLbl>
              <c:idx val="6"/>
              <c:layout>
                <c:manualLayout>
                  <c:x val="-2.060793405461105E-2"/>
                  <c:y val="5.917159763313609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DC-4EE3-BE30-60C716A01DE5}"/>
                </c:ext>
              </c:extLst>
            </c:dLbl>
            <c:dLbl>
              <c:idx val="7"/>
              <c:layout>
                <c:manualLayout>
                  <c:x val="-9.0159711488923353E-3"/>
                  <c:y val="7.88954635108481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2DC-4EE3-BE30-60C716A01DE5}"/>
                </c:ext>
              </c:extLst>
            </c:dLbl>
            <c:dLbl>
              <c:idx val="8"/>
              <c:layout>
                <c:manualLayout>
                  <c:x val="-4.636785162287483E-2"/>
                  <c:y val="3.944773175542406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DC-4EE3-BE30-60C716A01DE5}"/>
                </c:ext>
              </c:extLst>
            </c:dLbl>
            <c:dLbl>
              <c:idx val="9"/>
              <c:layout>
                <c:manualLayout>
                  <c:x val="-2.7047913446676983E-2"/>
                  <c:y val="4.536489151873763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DC-4EE3-BE30-60C716A01DE5}"/>
                </c:ext>
              </c:extLst>
            </c:dLbl>
            <c:dLbl>
              <c:idx val="10"/>
              <c:layout>
                <c:manualLayout>
                  <c:x val="-2.0607934054611025E-2"/>
                  <c:y val="2.36686390532544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2DC-4EE3-BE30-60C716A01DE5}"/>
                </c:ext>
              </c:extLst>
            </c:dLbl>
            <c:dLbl>
              <c:idx val="11"/>
              <c:layout>
                <c:manualLayout>
                  <c:x val="-0.18160741885625967"/>
                  <c:y val="-1.972386587771212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DC-4EE3-BE30-60C716A01DE5}"/>
                </c:ext>
              </c:extLst>
            </c:dLbl>
            <c:dLbl>
              <c:idx val="12"/>
              <c:layout>
                <c:manualLayout>
                  <c:x val="-6.9551777434312262E-2"/>
                  <c:y val="7.7653015266582804E-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612179370159875"/>
                      <c:h val="9.26035502958579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2DC-4EE3-BE30-60C716A01DE5}"/>
                </c:ext>
              </c:extLst>
            </c:dLbl>
            <c:dLbl>
              <c:idx val="13"/>
              <c:layout>
                <c:manualLayout>
                  <c:x val="0.12622359608449252"/>
                  <c:y val="-4.33925049309664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DC-4EE3-BE30-60C716A01D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'tabelle totali'!$A$50:$A$63</c:f>
              <c:strCache>
                <c:ptCount val="14"/>
                <c:pt idx="0">
                  <c:v>energia, gas, luce, acqua, ambiente, estrattiva, metallurgia</c:v>
                </c:pt>
                <c:pt idx="1">
                  <c:v>agroalimentare</c:v>
                </c:pt>
                <c:pt idx="2">
                  <c:v>media, editoria</c:v>
                </c:pt>
                <c:pt idx="3">
                  <c:v>edilizia, infrastrutture, materiali da costruzione</c:v>
                </c:pt>
                <c:pt idx="4">
                  <c:v>elettronica, ICT, digitale</c:v>
                </c:pt>
                <c:pt idx="5">
                  <c:v>macchinari, attrezzature, impianti</c:v>
                </c:pt>
                <c:pt idx="6">
                  <c:v>servizi alle imprese</c:v>
                </c:pt>
                <c:pt idx="7">
                  <c:v>associazioni industriali</c:v>
                </c:pt>
                <c:pt idx="8">
                  <c:v>banche</c:v>
                </c:pt>
                <c:pt idx="9">
                  <c:v>carta, legno, arredamento</c:v>
                </c:pt>
                <c:pt idx="10">
                  <c:v>gomma, plastica, chimica</c:v>
                </c:pt>
                <c:pt idx="11">
                  <c:v>logistica, trasporti</c:v>
                </c:pt>
                <c:pt idx="12">
                  <c:v>tessile, abbigliamento, pelli e cuoio</c:v>
                </c:pt>
                <c:pt idx="13">
                  <c:v>farmaceutica, sanità</c:v>
                </c:pt>
              </c:strCache>
            </c:strRef>
          </c:cat>
          <c:val>
            <c:numRef>
              <c:f>'tabelle totali'!$B$50:$B$63</c:f>
              <c:numCache>
                <c:formatCode>General</c:formatCode>
                <c:ptCount val="14"/>
                <c:pt idx="0">
                  <c:v>24</c:v>
                </c:pt>
                <c:pt idx="1">
                  <c:v>10</c:v>
                </c:pt>
                <c:pt idx="2">
                  <c:v>2</c:v>
                </c:pt>
                <c:pt idx="3">
                  <c:v>27</c:v>
                </c:pt>
                <c:pt idx="4">
                  <c:v>12</c:v>
                </c:pt>
                <c:pt idx="5">
                  <c:v>34</c:v>
                </c:pt>
                <c:pt idx="6">
                  <c:v>15</c:v>
                </c:pt>
                <c:pt idx="7">
                  <c:v>19</c:v>
                </c:pt>
                <c:pt idx="8">
                  <c:v>7</c:v>
                </c:pt>
                <c:pt idx="9">
                  <c:v>4</c:v>
                </c:pt>
                <c:pt idx="10">
                  <c:v>5</c:v>
                </c:pt>
                <c:pt idx="11">
                  <c:v>10</c:v>
                </c:pt>
                <c:pt idx="12">
                  <c:v>2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C-4EE3-BE30-60C716A01DE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3117</xdr:colOff>
      <xdr:row>0</xdr:row>
      <xdr:rowOff>164523</xdr:rowOff>
    </xdr:from>
    <xdr:to>
      <xdr:col>11</xdr:col>
      <xdr:colOff>307917</xdr:colOff>
      <xdr:row>15</xdr:row>
      <xdr:rowOff>164523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53AD783-0304-8A02-0D34-D902391FF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594359</xdr:colOff>
      <xdr:row>21</xdr:row>
      <xdr:rowOff>156210</xdr:rowOff>
    </xdr:from>
    <xdr:to>
      <xdr:col>13</xdr:col>
      <xdr:colOff>365760</xdr:colOff>
      <xdr:row>40</xdr:row>
      <xdr:rowOff>83820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AD1BC8F-614A-D279-6871-744CF1B1F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563880</xdr:colOff>
      <xdr:row>42</xdr:row>
      <xdr:rowOff>129540</xdr:rowOff>
    </xdr:from>
    <xdr:to>
      <xdr:col>19</xdr:col>
      <xdr:colOff>60960</xdr:colOff>
      <xdr:row>76</xdr:row>
      <xdr:rowOff>167640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A858D58A-8DBA-1CFD-EA12-DC97A5842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5EEBBE-C853-4FA0-A83C-A87502E70519}" name="Tabella2" displayName="Tabella2" ref="A1:B6" totalsRowShown="0">
  <autoFilter ref="A1:B6" xr:uid="{035EEBBE-C853-4FA0-A83C-A87502E70519}"/>
  <tableColumns count="2">
    <tableColumn id="1" xr3:uid="{BB6A12B1-5C9F-422B-90D8-938F91F620A5}" name="Fascia di fatturato/volume d’affari complessivo"/>
    <tableColumn id="2" xr3:uid="{08A66BF2-4B46-4AB2-AB0C-FFBCC1431387}" name="Aziende associate" dataDxfId="2">
      <calculatedColumnFormula>COUNTIF('TOTALE Soci'!D:D,"piccole")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7D27AA-10A4-4983-A693-A3406757785D}" name="Tabella24" displayName="Tabella24" ref="A21:B28" totalsRowShown="0">
  <autoFilter ref="A21:B28" xr:uid="{047D27AA-10A4-4983-A693-A3406757785D}"/>
  <tableColumns count="2">
    <tableColumn id="1" xr3:uid="{8C8E61D8-2BBF-4781-A32A-7FDBD4FED133}" name="Fascia di fatturato/volume d’affari complessivo"/>
    <tableColumn id="2" xr3:uid="{0AF5073C-932F-4F06-83CB-A3E0678BB1F3}" name="Associati" dataDxfId="1">
      <calculatedColumnFormula>COUNTIF('TOTALE Soci'!D:D,"piccole")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817DB2-0B32-42F4-8525-B0AA1B38AA1B}" name="Tabella247" displayName="Tabella247" ref="A49:B63" totalsRowShown="0">
  <autoFilter ref="A49:B63" xr:uid="{A9817DB2-0B32-42F4-8525-B0AA1B38AA1B}"/>
  <tableColumns count="2">
    <tableColumn id="1" xr3:uid="{53B0E407-5EDD-47BF-9A74-61FB65D69128}" name="Settore"/>
    <tableColumn id="2" xr3:uid="{3A50AE7A-9090-40C3-BE3A-FAC77903F4B8}" name="Associati" dataDxfId="0">
      <calculatedColumnFormula>COUNTIF('TOTALE Soci'!D:D,"piccole")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1AC78A-D909-442F-A322-123B396D8D5F}" name="Tabella1" displayName="Tabella1" ref="A1:F175" totalsRowShown="0" headerRowBorderDxfId="8" tableBorderDxfId="7">
  <autoFilter ref="A1:F175" xr:uid="{BE1AC78A-D909-442F-A322-123B396D8D5F}"/>
  <sortState xmlns:xlrd2="http://schemas.microsoft.com/office/spreadsheetml/2017/richdata2" ref="A2:D175">
    <sortCondition ref="A2:A175"/>
  </sortState>
  <tableColumns count="6">
    <tableColumn id="1" xr3:uid="{1F452219-5515-4464-B860-422217966E37}" name="AZIENDA" dataDxfId="6"/>
    <tableColumn id="2" xr3:uid="{F67FC736-C15F-4B49-B520-C44F65A83B02}" name="SETTORE" dataDxfId="5"/>
    <tableColumn id="5" xr3:uid="{CFF02714-F387-4ED5-ABB9-8F9D67AD90F3}" name="FASCIA FATTURATO" dataDxfId="4"/>
    <tableColumn id="3" xr3:uid="{03C845C2-7FA4-483B-AC93-3C6CDFC21D10}" name="FATTURATO" dataDxfId="3"/>
    <tableColumn id="6" xr3:uid="{7BCE022A-D542-471B-B9D0-7AC2FD2D1C43}" name="QUOTE 2026"/>
    <tableColumn id="4" xr3:uid="{587F96E2-2868-478A-95B8-845A3F8107DC}" name="si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4221-D271-4781-9D34-558668E11082}">
  <dimension ref="A1:B66"/>
  <sheetViews>
    <sheetView topLeftCell="A38" zoomScaleNormal="110" workbookViewId="0">
      <selection activeCell="B44" sqref="B44"/>
    </sheetView>
  </sheetViews>
  <sheetFormatPr defaultRowHeight="15" x14ac:dyDescent="0.25"/>
  <cols>
    <col min="1" max="1" width="42.42578125" customWidth="1"/>
    <col min="2" max="2" width="23.570312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19</v>
      </c>
      <c r="B2">
        <f>COUNTIF('TOTALE Soci'!C:C,"startup")</f>
        <v>11</v>
      </c>
    </row>
    <row r="3" spans="1:2" x14ac:dyDescent="0.25">
      <c r="A3" s="1" t="s">
        <v>4</v>
      </c>
      <c r="B3">
        <f>COUNTIF('TOTALE Soci'!C:C,"piccole")</f>
        <v>22</v>
      </c>
    </row>
    <row r="4" spans="1:2" x14ac:dyDescent="0.25">
      <c r="A4" t="s">
        <v>181</v>
      </c>
      <c r="B4">
        <f>COUNTIF('TOTALE Soci'!C:C,"medie")</f>
        <v>27</v>
      </c>
    </row>
    <row r="5" spans="1:2" x14ac:dyDescent="0.25">
      <c r="A5" t="s">
        <v>2</v>
      </c>
      <c r="B5">
        <f>COUNTIF('TOTALE Soci'!C:C,"grandi")</f>
        <v>37</v>
      </c>
    </row>
    <row r="6" spans="1:2" x14ac:dyDescent="0.25">
      <c r="A6" t="s">
        <v>3</v>
      </c>
      <c r="B6">
        <f>COUNTIF('TOTALE Soci'!C:C,"multinazionali")</f>
        <v>51</v>
      </c>
    </row>
    <row r="9" spans="1:2" x14ac:dyDescent="0.25">
      <c r="B9" s="12" t="s">
        <v>158</v>
      </c>
    </row>
    <row r="10" spans="1:2" x14ac:dyDescent="0.25">
      <c r="B10">
        <f>SUM(Tabella2[Aziende associate])</f>
        <v>148</v>
      </c>
    </row>
    <row r="21" spans="1:2" x14ac:dyDescent="0.25">
      <c r="A21" t="s">
        <v>1</v>
      </c>
      <c r="B21" t="s">
        <v>157</v>
      </c>
    </row>
    <row r="22" spans="1:2" x14ac:dyDescent="0.25">
      <c r="A22" t="s">
        <v>168</v>
      </c>
      <c r="B22">
        <f>COUNTIF('TOTALE Soci'!C:C,"startup")</f>
        <v>11</v>
      </c>
    </row>
    <row r="23" spans="1:2" x14ac:dyDescent="0.25">
      <c r="A23" s="1" t="s">
        <v>169</v>
      </c>
      <c r="B23">
        <f>COUNTIF('TOTALE Soci'!C:C,"piccole")</f>
        <v>22</v>
      </c>
    </row>
    <row r="24" spans="1:2" x14ac:dyDescent="0.25">
      <c r="A24" t="s">
        <v>170</v>
      </c>
      <c r="B24">
        <f>COUNTIF('TOTALE Soci'!C:C,"medie")</f>
        <v>27</v>
      </c>
    </row>
    <row r="25" spans="1:2" x14ac:dyDescent="0.25">
      <c r="A25" t="s">
        <v>171</v>
      </c>
      <c r="B25">
        <f>COUNTIF('TOTALE Soci'!C:C,"grandi")</f>
        <v>37</v>
      </c>
    </row>
    <row r="26" spans="1:2" x14ac:dyDescent="0.25">
      <c r="A26" t="s">
        <v>172</v>
      </c>
      <c r="B26">
        <f>COUNTIF('TOTALE Soci'!C:C,"multinazionali")</f>
        <v>51</v>
      </c>
    </row>
    <row r="27" spans="1:2" x14ac:dyDescent="0.25">
      <c r="A27" t="s">
        <v>147</v>
      </c>
      <c r="B27">
        <f>COUNTIF('TOTALE Soci'!C:C,"banche")</f>
        <v>7</v>
      </c>
    </row>
    <row r="28" spans="1:2" x14ac:dyDescent="0.25">
      <c r="A28" t="s">
        <v>146</v>
      </c>
      <c r="B28">
        <f>COUNTIF('TOTALE Soci'!C:C,"associazione")</f>
        <v>19</v>
      </c>
    </row>
    <row r="30" spans="1:2" x14ac:dyDescent="0.25">
      <c r="B30" s="12" t="s">
        <v>156</v>
      </c>
    </row>
    <row r="31" spans="1:2" x14ac:dyDescent="0.25">
      <c r="B31">
        <f>SUM(Tabella24[Associati])</f>
        <v>174</v>
      </c>
    </row>
    <row r="45" spans="1:1" x14ac:dyDescent="0.25">
      <c r="A45" s="1"/>
    </row>
    <row r="49" spans="1:2" x14ac:dyDescent="0.25">
      <c r="A49" t="s">
        <v>182</v>
      </c>
      <c r="B49" t="s">
        <v>157</v>
      </c>
    </row>
    <row r="50" spans="1:2" ht="30" x14ac:dyDescent="0.25">
      <c r="A50" s="1" t="s">
        <v>13</v>
      </c>
      <c r="B50">
        <f>COUNTIF('TOTALE Soci'!B:B,Tabella247[[#This Row],[Settore]])</f>
        <v>24</v>
      </c>
    </row>
    <row r="51" spans="1:2" x14ac:dyDescent="0.25">
      <c r="A51" t="s">
        <v>7</v>
      </c>
      <c r="B51">
        <f>COUNTIF('TOTALE Soci'!B:B,Tabella247[[#This Row],[Settore]])</f>
        <v>10</v>
      </c>
    </row>
    <row r="52" spans="1:2" x14ac:dyDescent="0.25">
      <c r="A52" t="s">
        <v>8</v>
      </c>
      <c r="B52">
        <f>COUNTIF('TOTALE Soci'!B:B,Tabella247[[#This Row],[Settore]])</f>
        <v>2</v>
      </c>
    </row>
    <row r="53" spans="1:2" x14ac:dyDescent="0.25">
      <c r="A53" t="s">
        <v>9</v>
      </c>
      <c r="B53">
        <f>COUNTIF('TOTALE Soci'!B:B,Tabella247[[#This Row],[Settore]])</f>
        <v>27</v>
      </c>
    </row>
    <row r="54" spans="1:2" x14ac:dyDescent="0.25">
      <c r="A54" t="s">
        <v>10</v>
      </c>
      <c r="B54">
        <f>COUNTIF('TOTALE Soci'!B:B,Tabella247[[#This Row],[Settore]])</f>
        <v>12</v>
      </c>
    </row>
    <row r="55" spans="1:2" x14ac:dyDescent="0.25">
      <c r="A55" t="s">
        <v>12</v>
      </c>
      <c r="B55">
        <f>COUNTIF('TOTALE Soci'!B:B,Tabella247[[#This Row],[Settore]])</f>
        <v>34</v>
      </c>
    </row>
    <row r="56" spans="1:2" x14ac:dyDescent="0.25">
      <c r="A56" t="s">
        <v>11</v>
      </c>
      <c r="B56">
        <f>COUNTIF('TOTALE Soci'!B:B,Tabella247[[#This Row],[Settore]])</f>
        <v>15</v>
      </c>
    </row>
    <row r="57" spans="1:2" x14ac:dyDescent="0.25">
      <c r="A57" t="s">
        <v>184</v>
      </c>
      <c r="B57">
        <f>COUNTIF('TOTALE Soci'!B:B,Tabella247[[#This Row],[Settore]])</f>
        <v>19</v>
      </c>
    </row>
    <row r="58" spans="1:2" x14ac:dyDescent="0.25">
      <c r="A58" t="s">
        <v>149</v>
      </c>
      <c r="B58">
        <f>COUNTIF('TOTALE Soci'!B:B,Tabella247[[#This Row],[Settore]])</f>
        <v>7</v>
      </c>
    </row>
    <row r="59" spans="1:2" x14ac:dyDescent="0.25">
      <c r="A59" t="s">
        <v>14</v>
      </c>
      <c r="B59">
        <f>COUNTIF('TOTALE Soci'!B:B,Tabella247[[#This Row],[Settore]])</f>
        <v>4</v>
      </c>
    </row>
    <row r="60" spans="1:2" x14ac:dyDescent="0.25">
      <c r="A60" t="s">
        <v>15</v>
      </c>
      <c r="B60">
        <f>COUNTIF('TOTALE Soci'!B:B,Tabella247[[#This Row],[Settore]])</f>
        <v>5</v>
      </c>
    </row>
    <row r="61" spans="1:2" x14ac:dyDescent="0.25">
      <c r="A61" t="s">
        <v>16</v>
      </c>
      <c r="B61">
        <f>COUNTIF('TOTALE Soci'!B:B,Tabella247[[#This Row],[Settore]])</f>
        <v>10</v>
      </c>
    </row>
    <row r="62" spans="1:2" x14ac:dyDescent="0.25">
      <c r="A62" t="s">
        <v>17</v>
      </c>
      <c r="B62">
        <f>COUNTIF('TOTALE Soci'!B:B,Tabella247[[#This Row],[Settore]])</f>
        <v>2</v>
      </c>
    </row>
    <row r="63" spans="1:2" x14ac:dyDescent="0.25">
      <c r="A63" t="s">
        <v>18</v>
      </c>
      <c r="B63">
        <f>COUNTIF('TOTALE Soci'!B:B,Tabella247[[#This Row],[Settore]])</f>
        <v>3</v>
      </c>
    </row>
    <row r="65" spans="2:2" x14ac:dyDescent="0.25">
      <c r="B65" s="23" t="s">
        <v>183</v>
      </c>
    </row>
    <row r="66" spans="2:2" x14ac:dyDescent="0.25">
      <c r="B66" s="14">
        <f>SUM(Tabella247[Associati])</f>
        <v>174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3542F-02E1-4D4E-8A81-BD0FB04FCFF2}">
  <dimension ref="A1:F175"/>
  <sheetViews>
    <sheetView tabSelected="1" workbookViewId="0">
      <pane ySplit="1" topLeftCell="A3" activePane="bottomLeft" state="frozen"/>
      <selection pane="bottomLeft" activeCell="H15" sqref="H15"/>
    </sheetView>
  </sheetViews>
  <sheetFormatPr defaultRowHeight="15" x14ac:dyDescent="0.25"/>
  <cols>
    <col min="1" max="1" width="32.28515625" customWidth="1"/>
    <col min="2" max="3" width="33" customWidth="1"/>
    <col min="4" max="4" width="26" customWidth="1"/>
    <col min="5" max="5" width="23" customWidth="1"/>
    <col min="7" max="7" width="15.7109375" customWidth="1"/>
    <col min="8" max="8" width="15" customWidth="1"/>
  </cols>
  <sheetData>
    <row r="1" spans="1:6" ht="15.75" thickBot="1" x14ac:dyDescent="0.3">
      <c r="A1" s="6" t="s">
        <v>125</v>
      </c>
      <c r="B1" s="7" t="s">
        <v>5</v>
      </c>
      <c r="C1" s="8" t="s">
        <v>6</v>
      </c>
      <c r="D1" s="8" t="s">
        <v>160</v>
      </c>
      <c r="E1" s="8" t="s">
        <v>204</v>
      </c>
      <c r="F1" s="8" t="s">
        <v>210</v>
      </c>
    </row>
    <row r="2" spans="1:6" ht="15.75" thickBot="1" x14ac:dyDescent="0.3">
      <c r="A2" s="5" t="s">
        <v>203</v>
      </c>
      <c r="B2" s="2" t="s">
        <v>12</v>
      </c>
      <c r="C2" s="2" t="s">
        <v>22</v>
      </c>
      <c r="D2" s="13">
        <v>1500000</v>
      </c>
      <c r="F2" t="s">
        <v>209</v>
      </c>
    </row>
    <row r="3" spans="1:6" ht="29.25" thickBot="1" x14ac:dyDescent="0.3">
      <c r="A3" s="3" t="s">
        <v>30</v>
      </c>
      <c r="B3" s="2" t="s">
        <v>13</v>
      </c>
      <c r="C3" s="2" t="s">
        <v>20</v>
      </c>
      <c r="D3" s="13">
        <v>11500000</v>
      </c>
      <c r="F3" t="s">
        <v>209</v>
      </c>
    </row>
    <row r="4" spans="1:6" ht="29.25" thickBot="1" x14ac:dyDescent="0.3">
      <c r="A4" s="3" t="s">
        <v>162</v>
      </c>
      <c r="B4" s="2" t="s">
        <v>13</v>
      </c>
      <c r="C4" s="2" t="s">
        <v>22</v>
      </c>
      <c r="D4" s="13">
        <v>400000</v>
      </c>
      <c r="F4" t="s">
        <v>209</v>
      </c>
    </row>
    <row r="5" spans="1:6" ht="29.25" thickBot="1" x14ac:dyDescent="0.3">
      <c r="A5" s="3" t="s">
        <v>185</v>
      </c>
      <c r="B5" s="2" t="s">
        <v>13</v>
      </c>
      <c r="C5" s="2" t="s">
        <v>128</v>
      </c>
      <c r="D5" s="13">
        <v>1000000000</v>
      </c>
      <c r="F5" t="s">
        <v>209</v>
      </c>
    </row>
    <row r="6" spans="1:6" ht="15.75" thickBot="1" x14ac:dyDescent="0.3">
      <c r="A6" s="3" t="s">
        <v>23</v>
      </c>
      <c r="B6" s="2" t="s">
        <v>7</v>
      </c>
      <c r="C6" s="2" t="s">
        <v>21</v>
      </c>
      <c r="D6" s="13">
        <v>7500000</v>
      </c>
      <c r="F6" t="s">
        <v>209</v>
      </c>
    </row>
    <row r="7" spans="1:6" ht="15.75" thickBot="1" x14ac:dyDescent="0.3">
      <c r="A7" s="3" t="s">
        <v>216</v>
      </c>
      <c r="B7" s="2" t="s">
        <v>7</v>
      </c>
      <c r="C7" s="2" t="s">
        <v>19</v>
      </c>
      <c r="D7" s="13"/>
      <c r="F7" s="22"/>
    </row>
    <row r="8" spans="1:6" ht="29.25" thickBot="1" x14ac:dyDescent="0.3">
      <c r="A8" s="3" t="s">
        <v>24</v>
      </c>
      <c r="B8" s="2" t="s">
        <v>8</v>
      </c>
      <c r="C8" s="2" t="s">
        <v>21</v>
      </c>
      <c r="D8" s="13">
        <v>6650000</v>
      </c>
      <c r="F8" t="s">
        <v>209</v>
      </c>
    </row>
    <row r="9" spans="1:6" ht="15.75" thickBot="1" x14ac:dyDescent="0.3">
      <c r="A9" s="3" t="s">
        <v>188</v>
      </c>
      <c r="B9" s="2" t="s">
        <v>16</v>
      </c>
      <c r="C9" s="2" t="s">
        <v>22</v>
      </c>
      <c r="D9" s="13">
        <v>4500000</v>
      </c>
      <c r="F9" t="s">
        <v>209</v>
      </c>
    </row>
    <row r="10" spans="1:6" ht="29.25" thickBot="1" x14ac:dyDescent="0.3">
      <c r="A10" s="3" t="s">
        <v>25</v>
      </c>
      <c r="B10" s="2" t="s">
        <v>9</v>
      </c>
      <c r="C10" s="2" t="s">
        <v>128</v>
      </c>
      <c r="D10" s="13">
        <v>74000000</v>
      </c>
      <c r="F10" t="s">
        <v>209</v>
      </c>
    </row>
    <row r="11" spans="1:6" ht="15.75" thickBot="1" x14ac:dyDescent="0.3">
      <c r="A11" s="3" t="s">
        <v>26</v>
      </c>
      <c r="B11" s="2" t="s">
        <v>10</v>
      </c>
      <c r="C11" s="2" t="s">
        <v>128</v>
      </c>
      <c r="D11" s="13">
        <v>946000000</v>
      </c>
      <c r="F11" t="s">
        <v>209</v>
      </c>
    </row>
    <row r="12" spans="1:6" ht="15.75" thickBot="1" x14ac:dyDescent="0.3">
      <c r="A12" s="3" t="s">
        <v>27</v>
      </c>
      <c r="B12" s="2" t="s">
        <v>10</v>
      </c>
      <c r="C12" s="2" t="s">
        <v>128</v>
      </c>
      <c r="D12" s="13">
        <v>57000000</v>
      </c>
      <c r="F12" t="s">
        <v>209</v>
      </c>
    </row>
    <row r="13" spans="1:6" ht="15.75" thickBot="1" x14ac:dyDescent="0.3">
      <c r="A13" s="3" t="s">
        <v>28</v>
      </c>
      <c r="B13" s="2" t="s">
        <v>11</v>
      </c>
      <c r="C13" s="2" t="s">
        <v>20</v>
      </c>
      <c r="D13" s="13">
        <v>29500000</v>
      </c>
      <c r="F13" t="s">
        <v>209</v>
      </c>
    </row>
    <row r="14" spans="1:6" ht="15.75" thickBot="1" x14ac:dyDescent="0.3">
      <c r="A14" s="3" t="s">
        <v>138</v>
      </c>
      <c r="B14" s="19" t="s">
        <v>146</v>
      </c>
      <c r="C14" s="19" t="s">
        <v>145</v>
      </c>
      <c r="D14" s="13"/>
      <c r="F14" t="s">
        <v>209</v>
      </c>
    </row>
    <row r="15" spans="1:6" ht="57.75" thickBot="1" x14ac:dyDescent="0.3">
      <c r="A15" s="3" t="s">
        <v>139</v>
      </c>
      <c r="B15" s="19" t="s">
        <v>146</v>
      </c>
      <c r="C15" s="19" t="s">
        <v>145</v>
      </c>
      <c r="D15" s="13"/>
      <c r="F15" t="s">
        <v>209</v>
      </c>
    </row>
    <row r="16" spans="1:6" ht="29.25" thickBot="1" x14ac:dyDescent="0.3">
      <c r="A16" s="3" t="s">
        <v>148</v>
      </c>
      <c r="B16" s="2" t="s">
        <v>149</v>
      </c>
      <c r="C16" s="2" t="s">
        <v>149</v>
      </c>
      <c r="D16" s="17">
        <v>25000000</v>
      </c>
      <c r="F16" t="s">
        <v>209</v>
      </c>
    </row>
    <row r="17" spans="1:6" ht="29.25" thickBot="1" x14ac:dyDescent="0.3">
      <c r="A17" s="3" t="s">
        <v>29</v>
      </c>
      <c r="B17" s="2" t="s">
        <v>12</v>
      </c>
      <c r="C17" s="2" t="s">
        <v>20</v>
      </c>
      <c r="D17" s="13">
        <v>17000000</v>
      </c>
      <c r="F17" t="s">
        <v>209</v>
      </c>
    </row>
    <row r="18" spans="1:6" ht="15.75" thickBot="1" x14ac:dyDescent="0.3">
      <c r="A18" s="3" t="s">
        <v>177</v>
      </c>
      <c r="B18" s="2" t="s">
        <v>7</v>
      </c>
      <c r="C18" s="2" t="s">
        <v>20</v>
      </c>
      <c r="D18" s="13">
        <v>19000000</v>
      </c>
      <c r="F18" t="s">
        <v>209</v>
      </c>
    </row>
    <row r="19" spans="1:6" ht="15.75" thickBot="1" x14ac:dyDescent="0.3">
      <c r="A19" s="3" t="s">
        <v>31</v>
      </c>
      <c r="B19" s="2" t="s">
        <v>8</v>
      </c>
      <c r="C19" s="2" t="s">
        <v>22</v>
      </c>
      <c r="D19" s="13">
        <v>250000</v>
      </c>
      <c r="F19" t="s">
        <v>209</v>
      </c>
    </row>
    <row r="20" spans="1:6" ht="29.25" thickBot="1" x14ac:dyDescent="0.3">
      <c r="A20" s="3" t="s">
        <v>140</v>
      </c>
      <c r="B20" s="19" t="s">
        <v>146</v>
      </c>
      <c r="C20" s="19" t="s">
        <v>145</v>
      </c>
      <c r="D20" s="13"/>
      <c r="F20" t="s">
        <v>209</v>
      </c>
    </row>
    <row r="21" spans="1:6" ht="15.75" thickBot="1" x14ac:dyDescent="0.3">
      <c r="A21" s="3" t="s">
        <v>141</v>
      </c>
      <c r="B21" s="19" t="s">
        <v>146</v>
      </c>
      <c r="C21" s="19" t="s">
        <v>145</v>
      </c>
      <c r="D21" s="13"/>
      <c r="F21" t="s">
        <v>209</v>
      </c>
    </row>
    <row r="22" spans="1:6" ht="15.75" thickBot="1" x14ac:dyDescent="0.3">
      <c r="A22" s="3" t="s">
        <v>179</v>
      </c>
      <c r="B22" s="19" t="s">
        <v>146</v>
      </c>
      <c r="C22" s="19" t="s">
        <v>145</v>
      </c>
      <c r="D22" s="13"/>
      <c r="F22" t="s">
        <v>209</v>
      </c>
    </row>
    <row r="23" spans="1:6" ht="15.75" thickBot="1" x14ac:dyDescent="0.3">
      <c r="A23" s="3" t="s">
        <v>191</v>
      </c>
      <c r="B23" s="2" t="s">
        <v>11</v>
      </c>
      <c r="C23" s="2" t="s">
        <v>19</v>
      </c>
      <c r="D23" s="13">
        <v>200000</v>
      </c>
      <c r="F23" t="s">
        <v>209</v>
      </c>
    </row>
    <row r="24" spans="1:6" ht="15.75" thickBot="1" x14ac:dyDescent="0.3">
      <c r="A24" s="3" t="s">
        <v>32</v>
      </c>
      <c r="B24" s="2" t="s">
        <v>12</v>
      </c>
      <c r="C24" s="2" t="s">
        <v>20</v>
      </c>
      <c r="D24" s="13">
        <v>14000000</v>
      </c>
      <c r="F24" t="s">
        <v>209</v>
      </c>
    </row>
    <row r="25" spans="1:6" ht="15.75" thickBot="1" x14ac:dyDescent="0.3">
      <c r="A25" s="3" t="s">
        <v>207</v>
      </c>
      <c r="B25" s="2" t="s">
        <v>11</v>
      </c>
      <c r="C25" s="2" t="s">
        <v>21</v>
      </c>
      <c r="D25" s="13">
        <v>4000000</v>
      </c>
      <c r="F25" t="s">
        <v>209</v>
      </c>
    </row>
    <row r="26" spans="1:6" ht="29.25" thickBot="1" x14ac:dyDescent="0.3">
      <c r="A26" s="3" t="s">
        <v>217</v>
      </c>
      <c r="B26" s="2" t="s">
        <v>13</v>
      </c>
      <c r="C26" s="2" t="s">
        <v>20</v>
      </c>
      <c r="D26" s="13">
        <v>44000000</v>
      </c>
      <c r="F26" s="22"/>
    </row>
    <row r="27" spans="1:6" ht="29.25" thickBot="1" x14ac:dyDescent="0.3">
      <c r="A27" s="3" t="s">
        <v>150</v>
      </c>
      <c r="B27" s="2" t="s">
        <v>149</v>
      </c>
      <c r="C27" s="2" t="s">
        <v>149</v>
      </c>
      <c r="D27" s="13">
        <v>3800000000</v>
      </c>
      <c r="F27" t="s">
        <v>209</v>
      </c>
    </row>
    <row r="28" spans="1:6" ht="29.25" thickBot="1" x14ac:dyDescent="0.3">
      <c r="A28" s="3" t="s">
        <v>151</v>
      </c>
      <c r="B28" s="2" t="s">
        <v>149</v>
      </c>
      <c r="C28" s="2" t="s">
        <v>149</v>
      </c>
      <c r="D28" s="17">
        <v>1300000000</v>
      </c>
      <c r="F28" t="s">
        <v>209</v>
      </c>
    </row>
    <row r="29" spans="1:6" ht="15.75" thickBot="1" x14ac:dyDescent="0.3">
      <c r="A29" s="3" t="s">
        <v>152</v>
      </c>
      <c r="B29" s="2" t="s">
        <v>149</v>
      </c>
      <c r="C29" s="2" t="s">
        <v>149</v>
      </c>
      <c r="D29" s="13">
        <v>52000000</v>
      </c>
      <c r="F29" t="s">
        <v>209</v>
      </c>
    </row>
    <row r="30" spans="1:6" ht="15.75" thickBot="1" x14ac:dyDescent="0.3">
      <c r="A30" s="3" t="s">
        <v>33</v>
      </c>
      <c r="B30" s="2" t="s">
        <v>10</v>
      </c>
      <c r="C30" s="2" t="s">
        <v>19</v>
      </c>
      <c r="D30" s="13">
        <v>250000</v>
      </c>
      <c r="F30" t="s">
        <v>209</v>
      </c>
    </row>
    <row r="31" spans="1:6" ht="15.75" thickBot="1" x14ac:dyDescent="0.3">
      <c r="A31" s="3" t="s">
        <v>34</v>
      </c>
      <c r="B31" s="2" t="s">
        <v>12</v>
      </c>
      <c r="C31" s="2" t="s">
        <v>20</v>
      </c>
      <c r="D31" s="13">
        <v>18000000</v>
      </c>
      <c r="F31" t="s">
        <v>209</v>
      </c>
    </row>
    <row r="32" spans="1:6" ht="15.75" thickBot="1" x14ac:dyDescent="0.3">
      <c r="A32" s="3" t="s">
        <v>35</v>
      </c>
      <c r="B32" s="2" t="s">
        <v>12</v>
      </c>
      <c r="C32" s="2" t="s">
        <v>128</v>
      </c>
      <c r="D32" s="13">
        <v>200000000</v>
      </c>
      <c r="F32" t="s">
        <v>209</v>
      </c>
    </row>
    <row r="33" spans="1:6" ht="15.75" thickBot="1" x14ac:dyDescent="0.3">
      <c r="A33" s="3" t="s">
        <v>36</v>
      </c>
      <c r="B33" s="2" t="s">
        <v>11</v>
      </c>
      <c r="C33" s="2" t="s">
        <v>21</v>
      </c>
      <c r="D33" s="13">
        <v>2100000</v>
      </c>
      <c r="F33" t="s">
        <v>209</v>
      </c>
    </row>
    <row r="34" spans="1:6" ht="15.75" thickBot="1" x14ac:dyDescent="0.3">
      <c r="A34" s="3" t="s">
        <v>37</v>
      </c>
      <c r="B34" s="2" t="s">
        <v>12</v>
      </c>
      <c r="C34" s="2" t="s">
        <v>21</v>
      </c>
      <c r="D34" s="13">
        <v>10000000</v>
      </c>
      <c r="F34" t="s">
        <v>209</v>
      </c>
    </row>
    <row r="35" spans="1:6" ht="15.75" thickBot="1" x14ac:dyDescent="0.3">
      <c r="A35" s="3" t="s">
        <v>38</v>
      </c>
      <c r="B35" s="2" t="s">
        <v>11</v>
      </c>
      <c r="C35" s="2" t="s">
        <v>128</v>
      </c>
      <c r="D35" s="13">
        <v>150000000</v>
      </c>
      <c r="F35" t="s">
        <v>209</v>
      </c>
    </row>
    <row r="36" spans="1:6" ht="29.25" thickBot="1" x14ac:dyDescent="0.3">
      <c r="A36" s="3" t="s">
        <v>39</v>
      </c>
      <c r="B36" s="2" t="s">
        <v>13</v>
      </c>
      <c r="C36" s="2" t="s">
        <v>21</v>
      </c>
      <c r="D36" s="13">
        <v>4000000</v>
      </c>
      <c r="F36" t="s">
        <v>209</v>
      </c>
    </row>
    <row r="37" spans="1:6" ht="15.75" thickBot="1" x14ac:dyDescent="0.3">
      <c r="A37" s="3" t="s">
        <v>212</v>
      </c>
      <c r="B37" s="2" t="s">
        <v>11</v>
      </c>
      <c r="C37" s="2" t="s">
        <v>128</v>
      </c>
      <c r="D37" s="13">
        <v>200000000</v>
      </c>
      <c r="F37" t="s">
        <v>209</v>
      </c>
    </row>
    <row r="38" spans="1:6" ht="15.75" thickBot="1" x14ac:dyDescent="0.3">
      <c r="A38" s="3" t="s">
        <v>40</v>
      </c>
      <c r="B38" s="2" t="s">
        <v>12</v>
      </c>
      <c r="C38" s="2" t="s">
        <v>128</v>
      </c>
      <c r="D38" s="13">
        <v>140000000</v>
      </c>
      <c r="F38" t="s">
        <v>209</v>
      </c>
    </row>
    <row r="39" spans="1:6" ht="15.75" thickBot="1" x14ac:dyDescent="0.3">
      <c r="A39" s="3" t="s">
        <v>41</v>
      </c>
      <c r="B39" s="2" t="s">
        <v>14</v>
      </c>
      <c r="C39" s="2" t="s">
        <v>20</v>
      </c>
      <c r="D39" s="13">
        <v>31000000</v>
      </c>
      <c r="F39" t="s">
        <v>209</v>
      </c>
    </row>
    <row r="40" spans="1:6" ht="15.75" thickBot="1" x14ac:dyDescent="0.3">
      <c r="A40" s="3" t="s">
        <v>127</v>
      </c>
      <c r="B40" s="2" t="s">
        <v>18</v>
      </c>
      <c r="C40" s="2" t="s">
        <v>20</v>
      </c>
      <c r="D40" s="13">
        <v>18000000</v>
      </c>
      <c r="F40" t="s">
        <v>209</v>
      </c>
    </row>
    <row r="41" spans="1:6" ht="29.25" thickBot="1" x14ac:dyDescent="0.3">
      <c r="A41" s="3" t="s">
        <v>42</v>
      </c>
      <c r="B41" s="2" t="s">
        <v>9</v>
      </c>
      <c r="C41" s="2" t="s">
        <v>128</v>
      </c>
      <c r="D41" s="13">
        <v>400000000</v>
      </c>
      <c r="F41" t="s">
        <v>209</v>
      </c>
    </row>
    <row r="42" spans="1:6" ht="15.75" thickBot="1" x14ac:dyDescent="0.3">
      <c r="A42" s="3" t="s">
        <v>166</v>
      </c>
      <c r="B42" s="2" t="s">
        <v>12</v>
      </c>
      <c r="C42" s="2" t="s">
        <v>128</v>
      </c>
      <c r="D42" s="13">
        <v>56000000</v>
      </c>
      <c r="F42" t="s">
        <v>209</v>
      </c>
    </row>
    <row r="43" spans="1:6" ht="29.25" thickBot="1" x14ac:dyDescent="0.3">
      <c r="A43" s="3" t="s">
        <v>43</v>
      </c>
      <c r="B43" s="2" t="s">
        <v>9</v>
      </c>
      <c r="C43" s="2" t="s">
        <v>128</v>
      </c>
      <c r="D43" s="13">
        <v>250000000</v>
      </c>
      <c r="F43" t="s">
        <v>209</v>
      </c>
    </row>
    <row r="44" spans="1:6" ht="29.25" thickBot="1" x14ac:dyDescent="0.3">
      <c r="A44" s="3" t="s">
        <v>131</v>
      </c>
      <c r="B44" s="19" t="s">
        <v>146</v>
      </c>
      <c r="C44" s="19" t="s">
        <v>145</v>
      </c>
      <c r="D44" s="13"/>
      <c r="F44" t="s">
        <v>209</v>
      </c>
    </row>
    <row r="45" spans="1:6" ht="29.25" thickBot="1" x14ac:dyDescent="0.3">
      <c r="A45" s="3" t="s">
        <v>129</v>
      </c>
      <c r="B45" s="19" t="s">
        <v>146</v>
      </c>
      <c r="C45" s="19" t="s">
        <v>145</v>
      </c>
      <c r="D45" s="13"/>
      <c r="F45" t="s">
        <v>209</v>
      </c>
    </row>
    <row r="46" spans="1:6" ht="15.75" thickBot="1" x14ac:dyDescent="0.3">
      <c r="A46" s="3" t="s">
        <v>130</v>
      </c>
      <c r="B46" s="19" t="s">
        <v>146</v>
      </c>
      <c r="C46" s="19" t="s">
        <v>145</v>
      </c>
      <c r="D46" s="13"/>
      <c r="F46" t="s">
        <v>209</v>
      </c>
    </row>
    <row r="47" spans="1:6" ht="15.75" thickBot="1" x14ac:dyDescent="0.3">
      <c r="A47" s="3" t="s">
        <v>132</v>
      </c>
      <c r="B47" s="19" t="s">
        <v>146</v>
      </c>
      <c r="C47" s="19" t="s">
        <v>145</v>
      </c>
      <c r="D47" s="13"/>
      <c r="F47" t="s">
        <v>209</v>
      </c>
    </row>
    <row r="48" spans="1:6" ht="15.75" thickBot="1" x14ac:dyDescent="0.3">
      <c r="A48" s="3" t="s">
        <v>200</v>
      </c>
      <c r="B48" s="19" t="s">
        <v>146</v>
      </c>
      <c r="C48" s="19" t="s">
        <v>145</v>
      </c>
      <c r="D48" s="13"/>
      <c r="F48" t="s">
        <v>209</v>
      </c>
    </row>
    <row r="49" spans="1:6" ht="15.75" thickBot="1" x14ac:dyDescent="0.3">
      <c r="A49" s="3" t="s">
        <v>133</v>
      </c>
      <c r="B49" s="19" t="s">
        <v>146</v>
      </c>
      <c r="C49" s="19" t="s">
        <v>145</v>
      </c>
      <c r="D49" s="13"/>
      <c r="F49" t="s">
        <v>209</v>
      </c>
    </row>
    <row r="50" spans="1:6" ht="29.25" thickBot="1" x14ac:dyDescent="0.3">
      <c r="A50" s="3" t="s">
        <v>134</v>
      </c>
      <c r="B50" s="19" t="s">
        <v>146</v>
      </c>
      <c r="C50" s="19" t="s">
        <v>145</v>
      </c>
      <c r="D50" s="13"/>
      <c r="F50" t="s">
        <v>209</v>
      </c>
    </row>
    <row r="51" spans="1:6" ht="15.75" thickBot="1" x14ac:dyDescent="0.3">
      <c r="A51" s="3" t="s">
        <v>135</v>
      </c>
      <c r="B51" s="19" t="s">
        <v>146</v>
      </c>
      <c r="C51" s="19" t="s">
        <v>145</v>
      </c>
      <c r="D51" s="13"/>
      <c r="F51" t="s">
        <v>209</v>
      </c>
    </row>
    <row r="52" spans="1:6" ht="15.75" thickBot="1" x14ac:dyDescent="0.3">
      <c r="A52" s="3" t="s">
        <v>136</v>
      </c>
      <c r="B52" s="19" t="s">
        <v>146</v>
      </c>
      <c r="C52" s="19" t="s">
        <v>145</v>
      </c>
      <c r="D52" s="13"/>
      <c r="F52" t="s">
        <v>209</v>
      </c>
    </row>
    <row r="53" spans="1:6" ht="15.75" thickBot="1" x14ac:dyDescent="0.3">
      <c r="A53" s="3" t="s">
        <v>137</v>
      </c>
      <c r="B53" s="19" t="s">
        <v>146</v>
      </c>
      <c r="C53" s="19" t="s">
        <v>145</v>
      </c>
      <c r="D53" s="13"/>
      <c r="F53" t="s">
        <v>209</v>
      </c>
    </row>
    <row r="54" spans="1:6" ht="15.75" thickBot="1" x14ac:dyDescent="0.3">
      <c r="A54" s="3" t="s">
        <v>44</v>
      </c>
      <c r="B54" s="2" t="s">
        <v>14</v>
      </c>
      <c r="C54" s="2" t="s">
        <v>128</v>
      </c>
      <c r="D54" s="13">
        <v>92000000</v>
      </c>
      <c r="F54" t="s">
        <v>209</v>
      </c>
    </row>
    <row r="55" spans="1:6" ht="15.75" thickBot="1" x14ac:dyDescent="0.3">
      <c r="A55" s="3" t="s">
        <v>45</v>
      </c>
      <c r="B55" s="2" t="s">
        <v>12</v>
      </c>
      <c r="C55" s="2" t="s">
        <v>21</v>
      </c>
      <c r="D55" s="13">
        <v>9800000</v>
      </c>
      <c r="F55" t="s">
        <v>209</v>
      </c>
    </row>
    <row r="56" spans="1:6" ht="29.25" thickBot="1" x14ac:dyDescent="0.3">
      <c r="A56" s="3" t="s">
        <v>46</v>
      </c>
      <c r="B56" s="2" t="s">
        <v>9</v>
      </c>
      <c r="C56" s="2" t="s">
        <v>21</v>
      </c>
      <c r="D56" s="13">
        <v>6000000</v>
      </c>
      <c r="F56" t="s">
        <v>209</v>
      </c>
    </row>
    <row r="57" spans="1:6" ht="15.75" thickBot="1" x14ac:dyDescent="0.3">
      <c r="A57" s="3" t="s">
        <v>176</v>
      </c>
      <c r="B57" s="2" t="s">
        <v>10</v>
      </c>
      <c r="C57" s="2" t="s">
        <v>20</v>
      </c>
      <c r="D57" s="13">
        <v>15000000</v>
      </c>
      <c r="F57" t="s">
        <v>209</v>
      </c>
    </row>
    <row r="58" spans="1:6" ht="29.25" thickBot="1" x14ac:dyDescent="0.3">
      <c r="A58" s="3" t="s">
        <v>47</v>
      </c>
      <c r="B58" s="2" t="s">
        <v>13</v>
      </c>
      <c r="C58" s="2" t="s">
        <v>128</v>
      </c>
      <c r="D58" s="13">
        <v>1700000000</v>
      </c>
      <c r="F58" t="s">
        <v>209</v>
      </c>
    </row>
    <row r="59" spans="1:6" ht="29.25" thickBot="1" x14ac:dyDescent="0.3">
      <c r="A59" s="3" t="s">
        <v>48</v>
      </c>
      <c r="B59" s="2" t="s">
        <v>13</v>
      </c>
      <c r="C59" s="2" t="s">
        <v>128</v>
      </c>
      <c r="D59" s="13">
        <v>4100000000</v>
      </c>
      <c r="F59" t="s">
        <v>209</v>
      </c>
    </row>
    <row r="60" spans="1:6" ht="15.75" thickBot="1" x14ac:dyDescent="0.3">
      <c r="A60" s="3" t="s">
        <v>49</v>
      </c>
      <c r="B60" s="2" t="s">
        <v>11</v>
      </c>
      <c r="C60" s="2" t="s">
        <v>20</v>
      </c>
      <c r="D60" s="13">
        <v>21000000</v>
      </c>
      <c r="F60" t="s">
        <v>209</v>
      </c>
    </row>
    <row r="61" spans="1:6" ht="15.75" thickBot="1" x14ac:dyDescent="0.3">
      <c r="A61" s="3" t="s">
        <v>197</v>
      </c>
      <c r="B61" s="2" t="s">
        <v>7</v>
      </c>
      <c r="C61" s="2" t="s">
        <v>128</v>
      </c>
      <c r="D61" s="13">
        <v>50500000</v>
      </c>
      <c r="F61" t="s">
        <v>209</v>
      </c>
    </row>
    <row r="62" spans="1:6" ht="15.75" thickBot="1" x14ac:dyDescent="0.3">
      <c r="A62" s="3" t="s">
        <v>50</v>
      </c>
      <c r="B62" s="2" t="s">
        <v>7</v>
      </c>
      <c r="C62" s="2" t="s">
        <v>21</v>
      </c>
      <c r="D62" s="13">
        <v>8000000</v>
      </c>
      <c r="F62" t="s">
        <v>209</v>
      </c>
    </row>
    <row r="63" spans="1:6" ht="29.25" thickBot="1" x14ac:dyDescent="0.3">
      <c r="A63" s="3" t="s">
        <v>201</v>
      </c>
      <c r="B63" s="2" t="s">
        <v>13</v>
      </c>
      <c r="C63" s="2" t="s">
        <v>20</v>
      </c>
      <c r="D63" s="13">
        <v>35000000</v>
      </c>
      <c r="F63" t="s">
        <v>209</v>
      </c>
    </row>
    <row r="64" spans="1:6" ht="15.75" thickBot="1" x14ac:dyDescent="0.3">
      <c r="A64" s="3" t="s">
        <v>159</v>
      </c>
      <c r="B64" s="2" t="s">
        <v>11</v>
      </c>
      <c r="C64" s="2" t="s">
        <v>128</v>
      </c>
      <c r="D64" s="13">
        <v>100000000</v>
      </c>
      <c r="F64" t="s">
        <v>209</v>
      </c>
    </row>
    <row r="65" spans="1:6" ht="15.75" thickBot="1" x14ac:dyDescent="0.3">
      <c r="A65" s="3" t="s">
        <v>218</v>
      </c>
      <c r="B65" s="2" t="s">
        <v>18</v>
      </c>
      <c r="C65" s="2" t="s">
        <v>19</v>
      </c>
      <c r="D65" s="13">
        <v>1000000</v>
      </c>
      <c r="F65" s="22"/>
    </row>
    <row r="66" spans="1:6" ht="15.75" thickBot="1" x14ac:dyDescent="0.3">
      <c r="A66" s="3" t="s">
        <v>126</v>
      </c>
      <c r="B66" s="2" t="s">
        <v>10</v>
      </c>
      <c r="C66" s="2" t="s">
        <v>20</v>
      </c>
      <c r="D66" s="13">
        <v>39000000</v>
      </c>
      <c r="F66" t="s">
        <v>209</v>
      </c>
    </row>
    <row r="67" spans="1:6" ht="29.25" thickBot="1" x14ac:dyDescent="0.3">
      <c r="A67" s="3" t="s">
        <v>213</v>
      </c>
      <c r="B67" s="2" t="s">
        <v>13</v>
      </c>
      <c r="C67" s="2" t="s">
        <v>22</v>
      </c>
      <c r="D67" s="13">
        <v>1000000</v>
      </c>
      <c r="F67" t="s">
        <v>209</v>
      </c>
    </row>
    <row r="68" spans="1:6" ht="29.25" thickBot="1" x14ac:dyDescent="0.3">
      <c r="A68" s="3" t="s">
        <v>51</v>
      </c>
      <c r="B68" s="2" t="s">
        <v>13</v>
      </c>
      <c r="C68" s="2" t="s">
        <v>22</v>
      </c>
      <c r="D68" s="13">
        <v>1200000</v>
      </c>
      <c r="F68" t="s">
        <v>209</v>
      </c>
    </row>
    <row r="69" spans="1:6" ht="29.25" thickBot="1" x14ac:dyDescent="0.3">
      <c r="A69" s="3" t="s">
        <v>52</v>
      </c>
      <c r="B69" s="2" t="s">
        <v>13</v>
      </c>
      <c r="C69" s="2" t="s">
        <v>128</v>
      </c>
      <c r="D69" s="13">
        <v>95000000000</v>
      </c>
      <c r="F69" t="s">
        <v>209</v>
      </c>
    </row>
    <row r="70" spans="1:6" ht="29.25" thickBot="1" x14ac:dyDescent="0.3">
      <c r="A70" s="3" t="s">
        <v>53</v>
      </c>
      <c r="B70" s="2" t="s">
        <v>13</v>
      </c>
      <c r="C70" s="2" t="s">
        <v>128</v>
      </c>
      <c r="D70" s="13">
        <v>93000000000</v>
      </c>
      <c r="F70" t="s">
        <v>209</v>
      </c>
    </row>
    <row r="71" spans="1:6" ht="29.25" thickBot="1" x14ac:dyDescent="0.3">
      <c r="A71" s="3" t="s">
        <v>54</v>
      </c>
      <c r="B71" s="2" t="s">
        <v>9</v>
      </c>
      <c r="C71" s="2" t="s">
        <v>21</v>
      </c>
      <c r="D71" s="13">
        <v>8000000</v>
      </c>
      <c r="F71" t="s">
        <v>209</v>
      </c>
    </row>
    <row r="72" spans="1:6" ht="15.75" thickBot="1" x14ac:dyDescent="0.3">
      <c r="A72" s="3" t="s">
        <v>215</v>
      </c>
      <c r="B72" s="2" t="s">
        <v>12</v>
      </c>
      <c r="C72" s="2" t="s">
        <v>19</v>
      </c>
      <c r="D72" s="13">
        <v>1000000</v>
      </c>
      <c r="F72" s="22"/>
    </row>
    <row r="73" spans="1:6" ht="29.25" thickBot="1" x14ac:dyDescent="0.3">
      <c r="A73" s="3" t="s">
        <v>55</v>
      </c>
      <c r="B73" s="2" t="s">
        <v>9</v>
      </c>
      <c r="C73" s="2" t="s">
        <v>20</v>
      </c>
      <c r="D73" s="13">
        <v>50000000</v>
      </c>
      <c r="F73" t="s">
        <v>209</v>
      </c>
    </row>
    <row r="74" spans="1:6" ht="15.75" thickBot="1" x14ac:dyDescent="0.3">
      <c r="A74" s="3" t="s">
        <v>202</v>
      </c>
      <c r="B74" s="2" t="s">
        <v>12</v>
      </c>
      <c r="C74" s="2" t="s">
        <v>128</v>
      </c>
      <c r="D74" s="13">
        <v>200000000</v>
      </c>
      <c r="F74" t="s">
        <v>209</v>
      </c>
    </row>
    <row r="75" spans="1:6" ht="15.75" thickBot="1" x14ac:dyDescent="0.3">
      <c r="A75" s="3" t="s">
        <v>142</v>
      </c>
      <c r="B75" s="19" t="s">
        <v>146</v>
      </c>
      <c r="C75" s="19" t="s">
        <v>145</v>
      </c>
      <c r="D75" s="13"/>
      <c r="F75" t="s">
        <v>209</v>
      </c>
    </row>
    <row r="76" spans="1:6" ht="15.75" thickBot="1" x14ac:dyDescent="0.3">
      <c r="A76" s="3" t="s">
        <v>56</v>
      </c>
      <c r="B76" s="2" t="s">
        <v>7</v>
      </c>
      <c r="C76" s="2" t="s">
        <v>128</v>
      </c>
      <c r="D76" s="13">
        <v>17000000000</v>
      </c>
      <c r="F76" t="s">
        <v>209</v>
      </c>
    </row>
    <row r="77" spans="1:6" ht="15.75" thickBot="1" x14ac:dyDescent="0.3">
      <c r="A77" s="3" t="s">
        <v>208</v>
      </c>
      <c r="B77" s="2" t="s">
        <v>11</v>
      </c>
      <c r="C77" s="2" t="s">
        <v>19</v>
      </c>
      <c r="D77" s="13">
        <v>1200000</v>
      </c>
      <c r="F77" t="s">
        <v>209</v>
      </c>
    </row>
    <row r="78" spans="1:6" ht="15.75" thickBot="1" x14ac:dyDescent="0.3">
      <c r="A78" s="3" t="s">
        <v>192</v>
      </c>
      <c r="B78" s="2" t="s">
        <v>16</v>
      </c>
      <c r="C78" s="2" t="s">
        <v>22</v>
      </c>
      <c r="D78" s="13">
        <v>2500000</v>
      </c>
      <c r="F78" t="s">
        <v>209</v>
      </c>
    </row>
    <row r="79" spans="1:6" ht="15.75" thickBot="1" x14ac:dyDescent="0.3">
      <c r="A79" s="3" t="s">
        <v>57</v>
      </c>
      <c r="B79" s="2" t="s">
        <v>12</v>
      </c>
      <c r="C79" s="2" t="s">
        <v>22</v>
      </c>
      <c r="D79" s="13">
        <v>1800000</v>
      </c>
      <c r="F79" t="s">
        <v>209</v>
      </c>
    </row>
    <row r="80" spans="1:6" ht="29.25" thickBot="1" x14ac:dyDescent="0.3">
      <c r="A80" s="3" t="s">
        <v>198</v>
      </c>
      <c r="B80" s="2" t="s">
        <v>13</v>
      </c>
      <c r="C80" s="2" t="s">
        <v>22</v>
      </c>
      <c r="D80" s="13">
        <v>3000000</v>
      </c>
      <c r="F80" t="s">
        <v>209</v>
      </c>
    </row>
    <row r="81" spans="1:6" ht="15.75" thickBot="1" x14ac:dyDescent="0.3">
      <c r="A81" s="3" t="s">
        <v>58</v>
      </c>
      <c r="B81" s="2" t="s">
        <v>12</v>
      </c>
      <c r="C81" s="2" t="s">
        <v>20</v>
      </c>
      <c r="D81" s="13">
        <v>30000000</v>
      </c>
      <c r="F81" t="s">
        <v>209</v>
      </c>
    </row>
    <row r="82" spans="1:6" ht="15.75" thickBot="1" x14ac:dyDescent="0.3">
      <c r="A82" s="3" t="s">
        <v>178</v>
      </c>
      <c r="B82" s="2" t="s">
        <v>12</v>
      </c>
      <c r="C82" s="2" t="s">
        <v>128</v>
      </c>
      <c r="D82" s="13">
        <v>60000000</v>
      </c>
      <c r="F82" t="s">
        <v>209</v>
      </c>
    </row>
    <row r="83" spans="1:6" ht="15.75" thickBot="1" x14ac:dyDescent="0.3">
      <c r="A83" s="3" t="s">
        <v>59</v>
      </c>
      <c r="B83" s="2" t="s">
        <v>12</v>
      </c>
      <c r="C83" s="2" t="s">
        <v>21</v>
      </c>
      <c r="D83" s="13">
        <v>7000000</v>
      </c>
      <c r="F83" t="s">
        <v>209</v>
      </c>
    </row>
    <row r="84" spans="1:6" ht="15.75" thickBot="1" x14ac:dyDescent="0.3">
      <c r="A84" s="3" t="s">
        <v>60</v>
      </c>
      <c r="B84" s="2" t="s">
        <v>16</v>
      </c>
      <c r="C84" s="2" t="s">
        <v>128</v>
      </c>
      <c r="D84" s="13">
        <v>98000000</v>
      </c>
      <c r="F84" t="s">
        <v>209</v>
      </c>
    </row>
    <row r="85" spans="1:6" ht="15.75" thickBot="1" x14ac:dyDescent="0.3">
      <c r="A85" s="3" t="s">
        <v>143</v>
      </c>
      <c r="B85" s="19" t="s">
        <v>146</v>
      </c>
      <c r="C85" s="19" t="s">
        <v>145</v>
      </c>
      <c r="D85" s="13"/>
      <c r="F85" t="s">
        <v>209</v>
      </c>
    </row>
    <row r="86" spans="1:6" ht="29.25" thickBot="1" x14ac:dyDescent="0.3">
      <c r="A86" s="3" t="s">
        <v>61</v>
      </c>
      <c r="B86" s="2" t="s">
        <v>13</v>
      </c>
      <c r="C86" s="2" t="s">
        <v>22</v>
      </c>
      <c r="D86" s="13">
        <v>24000</v>
      </c>
      <c r="F86" t="s">
        <v>209</v>
      </c>
    </row>
    <row r="87" spans="1:6" ht="15.75" thickBot="1" x14ac:dyDescent="0.3">
      <c r="A87" s="3" t="s">
        <v>62</v>
      </c>
      <c r="B87" s="2" t="s">
        <v>15</v>
      </c>
      <c r="C87" s="2" t="s">
        <v>20</v>
      </c>
      <c r="D87" s="13">
        <v>26000000</v>
      </c>
      <c r="F87" t="s">
        <v>209</v>
      </c>
    </row>
    <row r="88" spans="1:6" ht="29.25" thickBot="1" x14ac:dyDescent="0.3">
      <c r="A88" s="3" t="s">
        <v>63</v>
      </c>
      <c r="B88" s="2" t="s">
        <v>17</v>
      </c>
      <c r="C88" s="2" t="s">
        <v>128</v>
      </c>
      <c r="D88" s="13">
        <v>369000000</v>
      </c>
      <c r="F88" t="s">
        <v>209</v>
      </c>
    </row>
    <row r="89" spans="1:6" ht="29.25" thickBot="1" x14ac:dyDescent="0.3">
      <c r="A89" s="3" t="s">
        <v>64</v>
      </c>
      <c r="B89" s="2" t="s">
        <v>9</v>
      </c>
      <c r="C89" s="2" t="s">
        <v>128</v>
      </c>
      <c r="D89" s="13">
        <v>50000000</v>
      </c>
      <c r="F89" t="s">
        <v>209</v>
      </c>
    </row>
    <row r="90" spans="1:6" ht="29.25" thickBot="1" x14ac:dyDescent="0.3">
      <c r="A90" s="3" t="s">
        <v>195</v>
      </c>
      <c r="B90" s="2" t="s">
        <v>9</v>
      </c>
      <c r="C90" s="2" t="s">
        <v>22</v>
      </c>
      <c r="D90" s="13">
        <v>1200000</v>
      </c>
      <c r="F90" t="s">
        <v>209</v>
      </c>
    </row>
    <row r="91" spans="1:6" ht="29.25" thickBot="1" x14ac:dyDescent="0.3">
      <c r="A91" s="3" t="s">
        <v>65</v>
      </c>
      <c r="B91" s="2" t="s">
        <v>9</v>
      </c>
      <c r="C91" s="2" t="s">
        <v>20</v>
      </c>
      <c r="D91" s="13">
        <v>10000000</v>
      </c>
      <c r="F91" t="s">
        <v>209</v>
      </c>
    </row>
    <row r="92" spans="1:6" ht="15.75" thickBot="1" x14ac:dyDescent="0.3">
      <c r="A92" s="3" t="s">
        <v>189</v>
      </c>
      <c r="B92" s="2" t="s">
        <v>10</v>
      </c>
      <c r="C92" s="2" t="s">
        <v>20</v>
      </c>
      <c r="D92" s="13">
        <v>15000000</v>
      </c>
      <c r="F92" t="s">
        <v>209</v>
      </c>
    </row>
    <row r="93" spans="1:6" ht="15.75" thickBot="1" x14ac:dyDescent="0.3">
      <c r="A93" s="3" t="s">
        <v>153</v>
      </c>
      <c r="B93" s="2" t="s">
        <v>149</v>
      </c>
      <c r="C93" s="2" t="s">
        <v>149</v>
      </c>
      <c r="D93" s="17">
        <v>5500000000</v>
      </c>
      <c r="F93" t="s">
        <v>209</v>
      </c>
    </row>
    <row r="94" spans="1:6" ht="29.25" thickBot="1" x14ac:dyDescent="0.3">
      <c r="A94" s="3" t="s">
        <v>66</v>
      </c>
      <c r="B94" s="2" t="s">
        <v>9</v>
      </c>
      <c r="C94" s="2" t="s">
        <v>128</v>
      </c>
      <c r="D94" s="13">
        <v>450000000</v>
      </c>
      <c r="F94" t="s">
        <v>209</v>
      </c>
    </row>
    <row r="95" spans="1:6" ht="15.75" thickBot="1" x14ac:dyDescent="0.3">
      <c r="A95" s="3" t="s">
        <v>174</v>
      </c>
      <c r="B95" s="2" t="s">
        <v>12</v>
      </c>
      <c r="C95" s="2" t="s">
        <v>21</v>
      </c>
      <c r="D95" s="13">
        <v>9000000</v>
      </c>
      <c r="F95" t="s">
        <v>209</v>
      </c>
    </row>
    <row r="96" spans="1:6" ht="15.75" thickBot="1" x14ac:dyDescent="0.3">
      <c r="A96" s="3" t="s">
        <v>167</v>
      </c>
      <c r="B96" s="2" t="s">
        <v>11</v>
      </c>
      <c r="C96" s="2" t="s">
        <v>128</v>
      </c>
      <c r="D96" s="13">
        <v>240000000</v>
      </c>
      <c r="F96" t="s">
        <v>209</v>
      </c>
    </row>
    <row r="97" spans="1:6" ht="15.75" thickBot="1" x14ac:dyDescent="0.3">
      <c r="A97" s="3" t="s">
        <v>67</v>
      </c>
      <c r="B97" s="2" t="s">
        <v>16</v>
      </c>
      <c r="C97" s="2" t="s">
        <v>128</v>
      </c>
      <c r="D97" s="13">
        <v>481000000</v>
      </c>
      <c r="F97" t="s">
        <v>209</v>
      </c>
    </row>
    <row r="98" spans="1:6" ht="29.25" thickBot="1" x14ac:dyDescent="0.3">
      <c r="A98" s="3" t="s">
        <v>199</v>
      </c>
      <c r="B98" s="2" t="s">
        <v>9</v>
      </c>
      <c r="C98" s="2" t="s">
        <v>128</v>
      </c>
      <c r="D98" s="13">
        <v>54000000</v>
      </c>
      <c r="F98" t="s">
        <v>209</v>
      </c>
    </row>
    <row r="99" spans="1:6" ht="15.75" thickBot="1" x14ac:dyDescent="0.3">
      <c r="A99" s="3" t="s">
        <v>68</v>
      </c>
      <c r="B99" s="2" t="s">
        <v>7</v>
      </c>
      <c r="C99" s="2" t="s">
        <v>128</v>
      </c>
      <c r="D99" s="13">
        <v>1600000000</v>
      </c>
      <c r="F99" t="s">
        <v>209</v>
      </c>
    </row>
    <row r="100" spans="1:6" ht="15.75" thickBot="1" x14ac:dyDescent="0.3">
      <c r="A100" s="3" t="s">
        <v>154</v>
      </c>
      <c r="B100" s="2" t="s">
        <v>149</v>
      </c>
      <c r="C100" s="2" t="s">
        <v>149</v>
      </c>
      <c r="D100" s="13">
        <v>25100000000</v>
      </c>
      <c r="F100" t="s">
        <v>209</v>
      </c>
    </row>
    <row r="101" spans="1:6" ht="15.75" thickBot="1" x14ac:dyDescent="0.3">
      <c r="A101" s="3" t="s">
        <v>205</v>
      </c>
      <c r="B101" s="2" t="s">
        <v>10</v>
      </c>
      <c r="C101" s="2" t="s">
        <v>22</v>
      </c>
      <c r="D101" s="13">
        <v>2000000</v>
      </c>
      <c r="F101" t="s">
        <v>209</v>
      </c>
    </row>
    <row r="102" spans="1:6" ht="15.75" thickBot="1" x14ac:dyDescent="0.3">
      <c r="A102" s="3" t="s">
        <v>69</v>
      </c>
      <c r="B102" s="2" t="s">
        <v>11</v>
      </c>
      <c r="C102" s="2" t="s">
        <v>22</v>
      </c>
      <c r="D102" s="13">
        <v>800000</v>
      </c>
      <c r="F102" t="s">
        <v>209</v>
      </c>
    </row>
    <row r="103" spans="1:6" ht="15.75" thickBot="1" x14ac:dyDescent="0.3">
      <c r="A103" s="3" t="s">
        <v>70</v>
      </c>
      <c r="B103" s="2" t="s">
        <v>15</v>
      </c>
      <c r="C103" s="2" t="s">
        <v>20</v>
      </c>
      <c r="D103" s="13">
        <v>27000000</v>
      </c>
      <c r="F103" t="s">
        <v>209</v>
      </c>
    </row>
    <row r="104" spans="1:6" ht="15.75" thickBot="1" x14ac:dyDescent="0.3">
      <c r="A104" s="3" t="s">
        <v>71</v>
      </c>
      <c r="B104" s="2" t="s">
        <v>16</v>
      </c>
      <c r="C104" s="2" t="s">
        <v>22</v>
      </c>
      <c r="D104" s="13">
        <v>1900000</v>
      </c>
      <c r="F104" t="s">
        <v>209</v>
      </c>
    </row>
    <row r="105" spans="1:6" ht="29.25" thickBot="1" x14ac:dyDescent="0.3">
      <c r="A105" s="3" t="s">
        <v>165</v>
      </c>
      <c r="B105" s="2" t="s">
        <v>9</v>
      </c>
      <c r="C105" s="2" t="s">
        <v>21</v>
      </c>
      <c r="D105" s="13">
        <v>5300000</v>
      </c>
      <c r="F105" t="s">
        <v>209</v>
      </c>
    </row>
    <row r="106" spans="1:6" ht="15.75" thickBot="1" x14ac:dyDescent="0.3">
      <c r="A106" s="3" t="s">
        <v>194</v>
      </c>
      <c r="B106" s="2" t="s">
        <v>11</v>
      </c>
      <c r="C106" s="2" t="s">
        <v>19</v>
      </c>
      <c r="D106" s="13">
        <v>50000</v>
      </c>
      <c r="F106" t="s">
        <v>209</v>
      </c>
    </row>
    <row r="107" spans="1:6" ht="15.75" thickBot="1" x14ac:dyDescent="0.3">
      <c r="A107" s="3" t="s">
        <v>190</v>
      </c>
      <c r="B107" s="2" t="s">
        <v>7</v>
      </c>
      <c r="C107" s="2" t="s">
        <v>20</v>
      </c>
      <c r="D107" s="13">
        <v>27000000</v>
      </c>
      <c r="F107" t="s">
        <v>209</v>
      </c>
    </row>
    <row r="108" spans="1:6" ht="29.25" thickBot="1" x14ac:dyDescent="0.3">
      <c r="A108" s="3" t="s">
        <v>72</v>
      </c>
      <c r="B108" s="2" t="s">
        <v>13</v>
      </c>
      <c r="C108" s="2" t="s">
        <v>21</v>
      </c>
      <c r="D108" s="13">
        <v>3800000</v>
      </c>
      <c r="F108" t="s">
        <v>209</v>
      </c>
    </row>
    <row r="109" spans="1:6" ht="29.25" thickBot="1" x14ac:dyDescent="0.3">
      <c r="A109" s="3" t="s">
        <v>73</v>
      </c>
      <c r="B109" s="2" t="s">
        <v>9</v>
      </c>
      <c r="C109" s="2" t="s">
        <v>21</v>
      </c>
      <c r="D109" s="13">
        <v>7000000</v>
      </c>
      <c r="F109" t="s">
        <v>209</v>
      </c>
    </row>
    <row r="110" spans="1:6" ht="15.75" thickBot="1" x14ac:dyDescent="0.3">
      <c r="A110" s="3" t="s">
        <v>74</v>
      </c>
      <c r="B110" s="2" t="s">
        <v>10</v>
      </c>
      <c r="C110" s="2" t="s">
        <v>128</v>
      </c>
      <c r="D110" s="13">
        <v>14700000000</v>
      </c>
      <c r="F110" t="s">
        <v>209</v>
      </c>
    </row>
    <row r="111" spans="1:6" ht="29.25" thickBot="1" x14ac:dyDescent="0.3">
      <c r="A111" s="3" t="s">
        <v>75</v>
      </c>
      <c r="B111" s="2" t="s">
        <v>9</v>
      </c>
      <c r="C111" s="2" t="s">
        <v>128</v>
      </c>
      <c r="D111" s="13">
        <v>60000000</v>
      </c>
      <c r="F111" t="s">
        <v>209</v>
      </c>
    </row>
    <row r="112" spans="1:6" ht="15.75" thickBot="1" x14ac:dyDescent="0.3">
      <c r="A112" s="3" t="s">
        <v>164</v>
      </c>
      <c r="B112" s="2" t="s">
        <v>14</v>
      </c>
      <c r="C112" s="2" t="s">
        <v>20</v>
      </c>
      <c r="D112" s="13">
        <v>25000000</v>
      </c>
      <c r="F112" t="s">
        <v>209</v>
      </c>
    </row>
    <row r="113" spans="1:6" ht="29.25" thickBot="1" x14ac:dyDescent="0.3">
      <c r="A113" s="3" t="s">
        <v>76</v>
      </c>
      <c r="B113" s="2" t="s">
        <v>9</v>
      </c>
      <c r="C113" s="2" t="s">
        <v>21</v>
      </c>
      <c r="D113" s="13">
        <v>3000000</v>
      </c>
      <c r="F113" t="s">
        <v>209</v>
      </c>
    </row>
    <row r="114" spans="1:6" ht="15.75" thickBot="1" x14ac:dyDescent="0.3">
      <c r="A114" s="3" t="s">
        <v>77</v>
      </c>
      <c r="B114" s="2" t="s">
        <v>11</v>
      </c>
      <c r="C114" s="2" t="s">
        <v>22</v>
      </c>
      <c r="D114" s="13">
        <v>2000000</v>
      </c>
      <c r="F114" t="s">
        <v>209</v>
      </c>
    </row>
    <row r="115" spans="1:6" ht="29.25" thickBot="1" x14ac:dyDescent="0.3">
      <c r="A115" s="3" t="s">
        <v>78</v>
      </c>
      <c r="B115" s="2" t="s">
        <v>13</v>
      </c>
      <c r="C115" s="2" t="s">
        <v>19</v>
      </c>
      <c r="D115" s="13">
        <v>250000</v>
      </c>
      <c r="F115" t="s">
        <v>209</v>
      </c>
    </row>
    <row r="116" spans="1:6" ht="29.25" thickBot="1" x14ac:dyDescent="0.3">
      <c r="A116" s="3" t="s">
        <v>79</v>
      </c>
      <c r="B116" s="2" t="s">
        <v>13</v>
      </c>
      <c r="C116" s="2" t="s">
        <v>128</v>
      </c>
      <c r="D116" s="13">
        <v>4300000000</v>
      </c>
      <c r="F116" t="s">
        <v>209</v>
      </c>
    </row>
    <row r="117" spans="1:6" ht="15.75" thickBot="1" x14ac:dyDescent="0.3">
      <c r="A117" s="3" t="s">
        <v>80</v>
      </c>
      <c r="B117" s="2" t="s">
        <v>7</v>
      </c>
      <c r="C117" s="2" t="s">
        <v>21</v>
      </c>
      <c r="D117" s="13">
        <v>10000000</v>
      </c>
      <c r="F117" t="s">
        <v>209</v>
      </c>
    </row>
    <row r="118" spans="1:6" ht="15.75" thickBot="1" x14ac:dyDescent="0.3">
      <c r="A118" s="3" t="s">
        <v>81</v>
      </c>
      <c r="B118" s="2" t="s">
        <v>15</v>
      </c>
      <c r="C118" s="2" t="s">
        <v>128</v>
      </c>
      <c r="D118" s="13">
        <v>600000000</v>
      </c>
      <c r="F118" t="s">
        <v>209</v>
      </c>
    </row>
    <row r="119" spans="1:6" ht="15.75" thickBot="1" x14ac:dyDescent="0.3">
      <c r="A119" s="3" t="s">
        <v>82</v>
      </c>
      <c r="B119" s="2" t="s">
        <v>12</v>
      </c>
      <c r="C119" s="2" t="s">
        <v>20</v>
      </c>
      <c r="D119" s="13">
        <v>26000000</v>
      </c>
      <c r="F119" t="s">
        <v>209</v>
      </c>
    </row>
    <row r="120" spans="1:6" ht="15.75" thickBot="1" x14ac:dyDescent="0.3">
      <c r="A120" s="3" t="s">
        <v>83</v>
      </c>
      <c r="B120" s="2" t="s">
        <v>7</v>
      </c>
      <c r="C120" s="2" t="s">
        <v>128</v>
      </c>
      <c r="D120" s="13">
        <v>300000000</v>
      </c>
      <c r="F120" t="s">
        <v>209</v>
      </c>
    </row>
    <row r="121" spans="1:6" ht="29.25" thickBot="1" x14ac:dyDescent="0.3">
      <c r="A121" s="3" t="s">
        <v>84</v>
      </c>
      <c r="B121" s="2" t="s">
        <v>9</v>
      </c>
      <c r="C121" s="2" t="s">
        <v>22</v>
      </c>
      <c r="D121" s="13">
        <v>1000000</v>
      </c>
      <c r="F121" t="s">
        <v>209</v>
      </c>
    </row>
    <row r="122" spans="1:6" ht="15.75" thickBot="1" x14ac:dyDescent="0.3">
      <c r="A122" s="3" t="s">
        <v>196</v>
      </c>
      <c r="B122" s="2" t="s">
        <v>12</v>
      </c>
      <c r="C122" s="2" t="s">
        <v>21</v>
      </c>
      <c r="D122" s="13">
        <v>7000000</v>
      </c>
      <c r="F122" t="s">
        <v>209</v>
      </c>
    </row>
    <row r="123" spans="1:6" ht="15.75" thickBot="1" x14ac:dyDescent="0.3">
      <c r="A123" s="3" t="s">
        <v>85</v>
      </c>
      <c r="B123" s="2" t="s">
        <v>12</v>
      </c>
      <c r="C123" s="2" t="s">
        <v>20</v>
      </c>
      <c r="D123" s="13">
        <v>18500000</v>
      </c>
      <c r="F123" t="s">
        <v>209</v>
      </c>
    </row>
    <row r="124" spans="1:6" ht="15.75" thickBot="1" x14ac:dyDescent="0.3">
      <c r="A124" s="3" t="s">
        <v>86</v>
      </c>
      <c r="B124" s="2" t="s">
        <v>12</v>
      </c>
      <c r="C124" s="2" t="s">
        <v>21</v>
      </c>
      <c r="D124" s="13">
        <v>5000000</v>
      </c>
      <c r="F124" t="s">
        <v>209</v>
      </c>
    </row>
    <row r="125" spans="1:6" ht="29.25" thickBot="1" x14ac:dyDescent="0.3">
      <c r="A125" s="3" t="s">
        <v>173</v>
      </c>
      <c r="B125" s="2" t="s">
        <v>14</v>
      </c>
      <c r="C125" s="2" t="s">
        <v>21</v>
      </c>
      <c r="D125" s="13">
        <v>9000000</v>
      </c>
      <c r="F125" t="s">
        <v>209</v>
      </c>
    </row>
    <row r="126" spans="1:6" ht="29.25" thickBot="1" x14ac:dyDescent="0.3">
      <c r="A126" s="3" t="s">
        <v>87</v>
      </c>
      <c r="B126" s="2" t="s">
        <v>13</v>
      </c>
      <c r="C126" s="2" t="s">
        <v>19</v>
      </c>
      <c r="D126" s="13">
        <v>250000</v>
      </c>
      <c r="F126" t="s">
        <v>209</v>
      </c>
    </row>
    <row r="127" spans="1:6" ht="15.75" thickBot="1" x14ac:dyDescent="0.3">
      <c r="A127" s="3" t="s">
        <v>88</v>
      </c>
      <c r="B127" s="2" t="s">
        <v>16</v>
      </c>
      <c r="C127" s="2" t="s">
        <v>128</v>
      </c>
      <c r="D127" s="13">
        <v>86000000000</v>
      </c>
      <c r="F127" t="s">
        <v>209</v>
      </c>
    </row>
    <row r="128" spans="1:6" ht="15.75" thickBot="1" x14ac:dyDescent="0.3">
      <c r="A128" s="3" t="s">
        <v>89</v>
      </c>
      <c r="B128" s="2" t="s">
        <v>12</v>
      </c>
      <c r="C128" s="2" t="s">
        <v>20</v>
      </c>
      <c r="D128" s="13">
        <v>25000000</v>
      </c>
      <c r="F128" t="s">
        <v>209</v>
      </c>
    </row>
    <row r="129" spans="1:6" ht="15.75" thickBot="1" x14ac:dyDescent="0.3">
      <c r="A129" s="3" t="s">
        <v>90</v>
      </c>
      <c r="B129" s="2" t="s">
        <v>12</v>
      </c>
      <c r="C129" s="2" t="s">
        <v>20</v>
      </c>
      <c r="D129" s="13">
        <v>38000000</v>
      </c>
      <c r="F129" t="s">
        <v>209</v>
      </c>
    </row>
    <row r="130" spans="1:6" ht="29.25" thickBot="1" x14ac:dyDescent="0.3">
      <c r="A130" s="3" t="s">
        <v>211</v>
      </c>
      <c r="B130" s="2" t="s">
        <v>13</v>
      </c>
      <c r="C130" s="2" t="s">
        <v>128</v>
      </c>
      <c r="D130" s="13">
        <v>21000000000</v>
      </c>
      <c r="F130" t="s">
        <v>209</v>
      </c>
    </row>
    <row r="131" spans="1:6" ht="15.75" thickBot="1" x14ac:dyDescent="0.3">
      <c r="A131" s="3" t="s">
        <v>91</v>
      </c>
      <c r="B131" s="2" t="s">
        <v>12</v>
      </c>
      <c r="C131" s="2" t="s">
        <v>21</v>
      </c>
      <c r="D131" s="13">
        <v>5000000</v>
      </c>
      <c r="F131" t="s">
        <v>209</v>
      </c>
    </row>
    <row r="132" spans="1:6" ht="15.75" thickBot="1" x14ac:dyDescent="0.3">
      <c r="A132" s="3" t="s">
        <v>92</v>
      </c>
      <c r="B132" s="2" t="s">
        <v>15</v>
      </c>
      <c r="C132" s="2" t="s">
        <v>128</v>
      </c>
      <c r="D132" s="13">
        <v>126000000</v>
      </c>
      <c r="F132" t="s">
        <v>209</v>
      </c>
    </row>
    <row r="133" spans="1:6" ht="15.75" thickBot="1" x14ac:dyDescent="0.3">
      <c r="A133" s="3" t="s">
        <v>93</v>
      </c>
      <c r="B133" s="2" t="s">
        <v>12</v>
      </c>
      <c r="C133" s="2" t="s">
        <v>22</v>
      </c>
      <c r="D133" s="13">
        <v>300000</v>
      </c>
      <c r="F133" t="s">
        <v>209</v>
      </c>
    </row>
    <row r="134" spans="1:6" ht="29.25" thickBot="1" x14ac:dyDescent="0.3">
      <c r="A134" s="3" t="s">
        <v>94</v>
      </c>
      <c r="B134" s="2" t="s">
        <v>9</v>
      </c>
      <c r="C134" s="2" t="s">
        <v>20</v>
      </c>
      <c r="D134" s="13">
        <v>25000000</v>
      </c>
      <c r="F134" t="s">
        <v>209</v>
      </c>
    </row>
    <row r="135" spans="1:6" ht="29.25" thickBot="1" x14ac:dyDescent="0.3">
      <c r="A135" s="3" t="s">
        <v>95</v>
      </c>
      <c r="B135" s="2" t="s">
        <v>9</v>
      </c>
      <c r="C135" s="2" t="s">
        <v>20</v>
      </c>
      <c r="D135" s="13">
        <v>19000000</v>
      </c>
      <c r="F135" t="s">
        <v>209</v>
      </c>
    </row>
    <row r="136" spans="1:6" ht="15.75" thickBot="1" x14ac:dyDescent="0.3">
      <c r="A136" s="3" t="s">
        <v>96</v>
      </c>
      <c r="B136" s="2" t="s">
        <v>15</v>
      </c>
      <c r="C136" s="2" t="s">
        <v>128</v>
      </c>
      <c r="D136" s="13">
        <v>160000000</v>
      </c>
      <c r="F136" t="s">
        <v>209</v>
      </c>
    </row>
    <row r="137" spans="1:6" ht="29.25" thickBot="1" x14ac:dyDescent="0.3">
      <c r="A137" s="3" t="s">
        <v>97</v>
      </c>
      <c r="B137" s="2" t="s">
        <v>13</v>
      </c>
      <c r="C137" s="2" t="s">
        <v>128</v>
      </c>
      <c r="D137" s="13">
        <v>190000000</v>
      </c>
      <c r="F137" t="s">
        <v>209</v>
      </c>
    </row>
    <row r="138" spans="1:6" ht="29.25" thickBot="1" x14ac:dyDescent="0.3">
      <c r="A138" s="3" t="s">
        <v>175</v>
      </c>
      <c r="B138" s="2" t="s">
        <v>9</v>
      </c>
      <c r="C138" s="2" t="s">
        <v>128</v>
      </c>
      <c r="D138" s="13">
        <v>121000000</v>
      </c>
      <c r="F138" t="s">
        <v>209</v>
      </c>
    </row>
    <row r="139" spans="1:6" ht="29.25" thickBot="1" x14ac:dyDescent="0.3">
      <c r="A139" s="3" t="s">
        <v>98</v>
      </c>
      <c r="B139" s="2" t="s">
        <v>17</v>
      </c>
      <c r="C139" s="2" t="s">
        <v>128</v>
      </c>
      <c r="D139" s="13">
        <v>88000000</v>
      </c>
      <c r="F139" t="s">
        <v>209</v>
      </c>
    </row>
    <row r="140" spans="1:6" ht="15.75" thickBot="1" x14ac:dyDescent="0.3">
      <c r="A140" s="3" t="s">
        <v>99</v>
      </c>
      <c r="B140" s="2" t="s">
        <v>12</v>
      </c>
      <c r="C140" s="2" t="s">
        <v>19</v>
      </c>
      <c r="D140" s="13">
        <v>250000</v>
      </c>
      <c r="F140" t="s">
        <v>209</v>
      </c>
    </row>
    <row r="141" spans="1:6" ht="15.75" thickBot="1" x14ac:dyDescent="0.3">
      <c r="A141" s="3" t="s">
        <v>100</v>
      </c>
      <c r="B141" s="2" t="s">
        <v>12</v>
      </c>
      <c r="C141" s="2" t="s">
        <v>20</v>
      </c>
      <c r="D141" s="13">
        <v>33000000</v>
      </c>
      <c r="F141" t="s">
        <v>209</v>
      </c>
    </row>
    <row r="142" spans="1:6" ht="15.75" thickBot="1" x14ac:dyDescent="0.3">
      <c r="A142" s="3" t="s">
        <v>193</v>
      </c>
      <c r="B142" s="2" t="s">
        <v>11</v>
      </c>
      <c r="C142" s="2" t="s">
        <v>20</v>
      </c>
      <c r="D142" s="13">
        <v>15000000</v>
      </c>
      <c r="F142" t="s">
        <v>209</v>
      </c>
    </row>
    <row r="143" spans="1:6" ht="15.75" thickBot="1" x14ac:dyDescent="0.3">
      <c r="A143" s="3" t="s">
        <v>101</v>
      </c>
      <c r="B143" s="2" t="s">
        <v>12</v>
      </c>
      <c r="C143" s="2" t="s">
        <v>128</v>
      </c>
      <c r="D143" s="13">
        <v>1800000000</v>
      </c>
      <c r="F143" t="s">
        <v>209</v>
      </c>
    </row>
    <row r="144" spans="1:6" ht="29.25" thickBot="1" x14ac:dyDescent="0.3">
      <c r="A144" s="3" t="s">
        <v>102</v>
      </c>
      <c r="B144" s="2" t="s">
        <v>13</v>
      </c>
      <c r="C144" s="2" t="s">
        <v>128</v>
      </c>
      <c r="D144" s="13">
        <v>12000000000</v>
      </c>
      <c r="F144" t="s">
        <v>209</v>
      </c>
    </row>
    <row r="145" spans="1:6" ht="29.25" thickBot="1" x14ac:dyDescent="0.3">
      <c r="A145" s="3" t="s">
        <v>103</v>
      </c>
      <c r="B145" s="2" t="s">
        <v>9</v>
      </c>
      <c r="C145" s="2" t="s">
        <v>128</v>
      </c>
      <c r="D145" s="13">
        <v>550000000</v>
      </c>
      <c r="F145" t="s">
        <v>209</v>
      </c>
    </row>
    <row r="146" spans="1:6" ht="29.25" thickBot="1" x14ac:dyDescent="0.3">
      <c r="A146" s="3" t="s">
        <v>104</v>
      </c>
      <c r="B146" s="2" t="s">
        <v>9</v>
      </c>
      <c r="C146" s="2" t="s">
        <v>19</v>
      </c>
      <c r="D146" s="13">
        <v>250000</v>
      </c>
      <c r="F146" t="s">
        <v>209</v>
      </c>
    </row>
    <row r="147" spans="1:6" ht="15.75" thickBot="1" x14ac:dyDescent="0.3">
      <c r="A147" s="9" t="s">
        <v>163</v>
      </c>
      <c r="B147" s="15" t="s">
        <v>12</v>
      </c>
      <c r="C147" s="20" t="s">
        <v>20</v>
      </c>
      <c r="D147" s="16">
        <v>43000000</v>
      </c>
      <c r="F147" t="s">
        <v>209</v>
      </c>
    </row>
    <row r="148" spans="1:6" ht="15.75" thickBot="1" x14ac:dyDescent="0.3">
      <c r="A148" s="3" t="s">
        <v>105</v>
      </c>
      <c r="B148" s="10" t="s">
        <v>16</v>
      </c>
      <c r="C148" s="2" t="s">
        <v>128</v>
      </c>
      <c r="D148" s="13">
        <v>4500000000</v>
      </c>
      <c r="F148" t="s">
        <v>209</v>
      </c>
    </row>
    <row r="149" spans="1:6" ht="29.25" thickBot="1" x14ac:dyDescent="0.3">
      <c r="A149" s="3" t="s">
        <v>106</v>
      </c>
      <c r="B149" s="10" t="s">
        <v>13</v>
      </c>
      <c r="C149" s="2" t="s">
        <v>20</v>
      </c>
      <c r="D149" s="18">
        <v>18000000</v>
      </c>
      <c r="F149" t="s">
        <v>209</v>
      </c>
    </row>
    <row r="150" spans="1:6" ht="15.75" thickBot="1" x14ac:dyDescent="0.3">
      <c r="A150" s="3" t="s">
        <v>107</v>
      </c>
      <c r="B150" s="10" t="s">
        <v>12</v>
      </c>
      <c r="C150" s="2" t="s">
        <v>20</v>
      </c>
      <c r="D150" s="18">
        <v>11000000</v>
      </c>
      <c r="F150" t="s">
        <v>209</v>
      </c>
    </row>
    <row r="151" spans="1:6" ht="15.75" thickBot="1" x14ac:dyDescent="0.3">
      <c r="A151" s="3" t="s">
        <v>180</v>
      </c>
      <c r="B151" s="10" t="s">
        <v>10</v>
      </c>
      <c r="C151" s="2" t="s">
        <v>21</v>
      </c>
      <c r="D151" s="18">
        <v>9000000</v>
      </c>
      <c r="F151" t="s">
        <v>209</v>
      </c>
    </row>
    <row r="152" spans="1:6" ht="29.25" thickBot="1" x14ac:dyDescent="0.3">
      <c r="A152" s="5" t="s">
        <v>108</v>
      </c>
      <c r="B152" s="10" t="s">
        <v>13</v>
      </c>
      <c r="C152" s="4" t="s">
        <v>20</v>
      </c>
      <c r="D152" s="18">
        <v>16000000</v>
      </c>
      <c r="F152" t="s">
        <v>209</v>
      </c>
    </row>
    <row r="153" spans="1:6" ht="15.75" thickBot="1" x14ac:dyDescent="0.3">
      <c r="A153" s="3" t="s">
        <v>109</v>
      </c>
      <c r="B153" s="10" t="s">
        <v>10</v>
      </c>
      <c r="C153" s="2" t="s">
        <v>20</v>
      </c>
      <c r="D153" s="18">
        <v>19000000</v>
      </c>
      <c r="F153" t="s">
        <v>209</v>
      </c>
    </row>
    <row r="154" spans="1:6" x14ac:dyDescent="0.25">
      <c r="A154" s="11" t="s">
        <v>161</v>
      </c>
      <c r="B154" s="10" t="s">
        <v>16</v>
      </c>
      <c r="C154" s="10" t="s">
        <v>20</v>
      </c>
      <c r="D154" s="21">
        <v>37000000</v>
      </c>
      <c r="F154" t="s">
        <v>209</v>
      </c>
    </row>
    <row r="155" spans="1:6" ht="15.75" thickBot="1" x14ac:dyDescent="0.3">
      <c r="A155" s="3" t="s">
        <v>110</v>
      </c>
      <c r="B155" s="2" t="s">
        <v>12</v>
      </c>
      <c r="C155" s="2" t="s">
        <v>128</v>
      </c>
      <c r="D155" s="13">
        <v>170000000</v>
      </c>
      <c r="F155" t="s">
        <v>209</v>
      </c>
    </row>
    <row r="156" spans="1:6" ht="15.75" thickBot="1" x14ac:dyDescent="0.3">
      <c r="A156" s="3" t="s">
        <v>111</v>
      </c>
      <c r="B156" s="2" t="s">
        <v>16</v>
      </c>
      <c r="C156" s="2" t="s">
        <v>20</v>
      </c>
      <c r="D156" s="13">
        <v>11000000</v>
      </c>
      <c r="F156" t="s">
        <v>209</v>
      </c>
    </row>
    <row r="157" spans="1:6" ht="15.75" thickBot="1" x14ac:dyDescent="0.3">
      <c r="A157" s="5" t="s">
        <v>112</v>
      </c>
      <c r="B157" s="2" t="s">
        <v>18</v>
      </c>
      <c r="C157" s="2" t="s">
        <v>20</v>
      </c>
      <c r="D157" s="13">
        <v>40000000</v>
      </c>
      <c r="F157" t="s">
        <v>209</v>
      </c>
    </row>
    <row r="158" spans="1:6" ht="29.25" thickBot="1" x14ac:dyDescent="0.3">
      <c r="A158" s="3" t="s">
        <v>113</v>
      </c>
      <c r="B158" s="2" t="s">
        <v>9</v>
      </c>
      <c r="C158" s="2" t="s">
        <v>21</v>
      </c>
      <c r="D158" s="13">
        <v>5000000</v>
      </c>
      <c r="F158" t="s">
        <v>209</v>
      </c>
    </row>
    <row r="159" spans="1:6" ht="29.25" thickBot="1" x14ac:dyDescent="0.3">
      <c r="A159" s="3" t="s">
        <v>114</v>
      </c>
      <c r="B159" s="2" t="s">
        <v>9</v>
      </c>
      <c r="C159" s="2" t="s">
        <v>22</v>
      </c>
      <c r="D159" s="13">
        <v>2000000</v>
      </c>
      <c r="F159" t="s">
        <v>209</v>
      </c>
    </row>
    <row r="160" spans="1:6" ht="15.75" thickBot="1" x14ac:dyDescent="0.3">
      <c r="A160" s="5" t="s">
        <v>115</v>
      </c>
      <c r="B160" s="2" t="s">
        <v>12</v>
      </c>
      <c r="C160" s="2" t="s">
        <v>22</v>
      </c>
      <c r="D160" s="13">
        <v>500000</v>
      </c>
      <c r="F160" t="s">
        <v>209</v>
      </c>
    </row>
    <row r="161" spans="1:6" ht="15.75" thickBot="1" x14ac:dyDescent="0.3">
      <c r="A161" s="3" t="s">
        <v>206</v>
      </c>
      <c r="B161" s="2" t="s">
        <v>12</v>
      </c>
      <c r="C161" s="2" t="s">
        <v>22</v>
      </c>
      <c r="D161" s="13">
        <v>1200000</v>
      </c>
      <c r="F161" t="s">
        <v>209</v>
      </c>
    </row>
    <row r="162" spans="1:6" ht="29.25" thickBot="1" x14ac:dyDescent="0.3">
      <c r="A162" s="3" t="s">
        <v>214</v>
      </c>
      <c r="B162" s="2" t="s">
        <v>9</v>
      </c>
      <c r="C162" s="2" t="s">
        <v>21</v>
      </c>
      <c r="D162" s="13">
        <v>8780569</v>
      </c>
      <c r="F162" t="s">
        <v>209</v>
      </c>
    </row>
    <row r="163" spans="1:6" ht="15.75" thickBot="1" x14ac:dyDescent="0.3">
      <c r="A163" s="3" t="s">
        <v>116</v>
      </c>
      <c r="B163" s="2" t="s">
        <v>16</v>
      </c>
      <c r="C163" s="2" t="s">
        <v>128</v>
      </c>
      <c r="D163" s="13">
        <v>115000000</v>
      </c>
      <c r="F163" t="s">
        <v>209</v>
      </c>
    </row>
    <row r="164" spans="1:6" ht="15.75" thickBot="1" x14ac:dyDescent="0.3">
      <c r="A164" s="3" t="s">
        <v>117</v>
      </c>
      <c r="B164" s="2" t="s">
        <v>10</v>
      </c>
      <c r="C164" s="2" t="s">
        <v>128</v>
      </c>
      <c r="D164" s="13">
        <v>770000000</v>
      </c>
      <c r="F164" t="s">
        <v>209</v>
      </c>
    </row>
    <row r="165" spans="1:6" ht="15.75" thickBot="1" x14ac:dyDescent="0.3">
      <c r="A165" s="3" t="s">
        <v>118</v>
      </c>
      <c r="B165" s="2" t="s">
        <v>12</v>
      </c>
      <c r="C165" s="2" t="s">
        <v>21</v>
      </c>
      <c r="D165" s="13">
        <v>4000000</v>
      </c>
      <c r="F165" t="s">
        <v>209</v>
      </c>
    </row>
    <row r="166" spans="1:6" ht="29.25" thickBot="1" x14ac:dyDescent="0.3">
      <c r="A166" s="3" t="s">
        <v>186</v>
      </c>
      <c r="B166" s="2" t="s">
        <v>9</v>
      </c>
      <c r="C166" s="2" t="s">
        <v>128</v>
      </c>
      <c r="D166" s="13">
        <v>167000000</v>
      </c>
      <c r="F166" t="s">
        <v>209</v>
      </c>
    </row>
    <row r="167" spans="1:6" ht="15.75" thickBot="1" x14ac:dyDescent="0.3">
      <c r="A167" s="3" t="s">
        <v>119</v>
      </c>
      <c r="B167" s="2" t="s">
        <v>11</v>
      </c>
      <c r="C167" s="2" t="s">
        <v>128</v>
      </c>
      <c r="D167" s="13">
        <v>990000000</v>
      </c>
      <c r="F167" t="s">
        <v>209</v>
      </c>
    </row>
    <row r="168" spans="1:6" ht="15.75" thickBot="1" x14ac:dyDescent="0.3">
      <c r="A168" s="3" t="s">
        <v>155</v>
      </c>
      <c r="B168" s="2" t="s">
        <v>149</v>
      </c>
      <c r="C168" s="2" t="s">
        <v>149</v>
      </c>
      <c r="D168" s="17">
        <v>24200000000</v>
      </c>
      <c r="F168" t="s">
        <v>209</v>
      </c>
    </row>
    <row r="169" spans="1:6" ht="15.75" thickBot="1" x14ac:dyDescent="0.3">
      <c r="A169" s="3" t="s">
        <v>187</v>
      </c>
      <c r="B169" s="19" t="s">
        <v>146</v>
      </c>
      <c r="C169" s="19" t="s">
        <v>145</v>
      </c>
      <c r="D169" s="13"/>
      <c r="F169" t="s">
        <v>209</v>
      </c>
    </row>
    <row r="170" spans="1:6" ht="29.25" thickBot="1" x14ac:dyDescent="0.3">
      <c r="A170" s="3" t="s">
        <v>144</v>
      </c>
      <c r="B170" s="19" t="s">
        <v>146</v>
      </c>
      <c r="C170" s="19" t="s">
        <v>145</v>
      </c>
      <c r="D170" s="13"/>
      <c r="F170" t="s">
        <v>209</v>
      </c>
    </row>
    <row r="171" spans="1:6" ht="29.25" thickBot="1" x14ac:dyDescent="0.3">
      <c r="A171" s="5" t="s">
        <v>120</v>
      </c>
      <c r="B171" s="2" t="s">
        <v>9</v>
      </c>
      <c r="C171" s="2" t="s">
        <v>21</v>
      </c>
      <c r="D171" s="13">
        <v>7000000</v>
      </c>
      <c r="F171" t="s">
        <v>209</v>
      </c>
    </row>
    <row r="172" spans="1:6" ht="29.25" thickBot="1" x14ac:dyDescent="0.3">
      <c r="A172" s="5" t="s">
        <v>121</v>
      </c>
      <c r="B172" s="2" t="s">
        <v>13</v>
      </c>
      <c r="C172" s="2" t="s">
        <v>128</v>
      </c>
      <c r="D172" s="13">
        <v>134000000</v>
      </c>
      <c r="F172" t="s">
        <v>209</v>
      </c>
    </row>
    <row r="173" spans="1:6" ht="15.75" thickBot="1" x14ac:dyDescent="0.3">
      <c r="A173" s="5" t="s">
        <v>122</v>
      </c>
      <c r="B173" s="2" t="s">
        <v>10</v>
      </c>
      <c r="C173" s="2" t="s">
        <v>21</v>
      </c>
      <c r="D173" s="13">
        <v>4000000</v>
      </c>
      <c r="F173" t="s">
        <v>209</v>
      </c>
    </row>
    <row r="174" spans="1:6" ht="29.25" thickBot="1" x14ac:dyDescent="0.3">
      <c r="A174" s="11" t="s">
        <v>123</v>
      </c>
      <c r="B174" s="2" t="s">
        <v>9</v>
      </c>
      <c r="C174" s="2" t="s">
        <v>22</v>
      </c>
      <c r="D174" s="13">
        <v>1800000</v>
      </c>
      <c r="F174" t="s">
        <v>209</v>
      </c>
    </row>
    <row r="175" spans="1:6" ht="15.75" thickBot="1" x14ac:dyDescent="0.3">
      <c r="A175" s="11" t="s">
        <v>124</v>
      </c>
      <c r="B175" s="2" t="s">
        <v>12</v>
      </c>
      <c r="C175" s="2" t="s">
        <v>22</v>
      </c>
      <c r="D175" s="16">
        <v>150000</v>
      </c>
      <c r="F175" t="s">
        <v>209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tabelle totali</vt:lpstr>
      <vt:lpstr>TOTALE Soci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utente1</dc:creator>
  <cp:lastModifiedBy>utente1</cp:lastModifiedBy>
  <cp:lastPrinted>2025-01-13T09:17:10Z</cp:lastPrinted>
  <dcterms:created xsi:type="dcterms:W3CDTF">2024-11-04T16:15:16Z</dcterms:created>
  <dcterms:modified xsi:type="dcterms:W3CDTF">2026-03-09T14:31:32Z</dcterms:modified>
</cp:coreProperties>
</file>